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fileSharing readOnlyRecommended="1"/>
  <workbookPr codeName="ThisWorkbook"/>
  <mc:AlternateContent xmlns:mc="http://schemas.openxmlformats.org/markup-compatibility/2006">
    <mc:Choice Requires="x15">
      <x15ac:absPath xmlns:x15ac="http://schemas.microsoft.com/office/spreadsheetml/2010/11/ac" url="C:\Users\7312284\Downloads\"/>
    </mc:Choice>
  </mc:AlternateContent>
  <xr:revisionPtr revIDLastSave="0" documentId="13_ncr:1_{2C91850D-E038-43AC-8CAE-491C542182E6}" xr6:coauthVersionLast="47" xr6:coauthVersionMax="47" xr10:uidLastSave="{00000000-0000-0000-0000-000000000000}"/>
  <bookViews>
    <workbookView xWindow="-16065" yWindow="-14355" windowWidth="26715" windowHeight="13350" activeTab="1" xr2:uid="{00000000-000D-0000-FFFF-FFFF00000000}"/>
  </bookViews>
  <sheets>
    <sheet name="Tax Table" sheetId="1" r:id="rId1"/>
    <sheet name="Calculator" sheetId="2" r:id="rId2"/>
    <sheet name="Day-Calc" sheetId="8" r:id="rId3"/>
    <sheet name="Scotland" sheetId="6" r:id="rId4"/>
    <sheet name="InYAdj" sheetId="7" r:id="rId5"/>
    <sheet name="Case-Info" sheetId="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9" i="2" l="1"/>
  <c r="N18" i="2"/>
  <c r="M2" i="8"/>
  <c r="L17" i="2" l="1"/>
  <c r="K2" i="8"/>
  <c r="D11" i="1"/>
  <c r="F2" i="2"/>
  <c r="E2" i="8"/>
  <c r="A2" i="8"/>
  <c r="F2" i="8"/>
  <c r="B2" i="8"/>
  <c r="D34" i="1"/>
  <c r="D29" i="1"/>
  <c r="D24" i="1"/>
  <c r="D23" i="1"/>
  <c r="D22" i="1"/>
  <c r="D12" i="1"/>
  <c r="C11" i="2"/>
  <c r="D11" i="2" s="1"/>
  <c r="C10" i="2"/>
  <c r="L14" i="2"/>
  <c r="C21" i="2"/>
  <c r="D21" i="2" s="1"/>
  <c r="E21" i="2" s="1"/>
  <c r="L12" i="2"/>
  <c r="L13" i="2"/>
  <c r="H11" i="2"/>
  <c r="H8" i="2"/>
  <c r="F4" i="2"/>
  <c r="H4" i="2" s="1"/>
  <c r="H3" i="2"/>
  <c r="A29" i="1"/>
  <c r="C29" i="1" s="1"/>
  <c r="A30" i="1"/>
  <c r="D30" i="1" s="1"/>
  <c r="R2" i="2"/>
  <c r="T2" i="2"/>
  <c r="W2" i="2" s="1"/>
  <c r="P3" i="2"/>
  <c r="R3" i="2"/>
  <c r="T3" i="2"/>
  <c r="W3" i="2" s="1"/>
  <c r="P4" i="2"/>
  <c r="R4" i="2"/>
  <c r="T4" i="2"/>
  <c r="W4" i="2" s="1"/>
  <c r="P5" i="2"/>
  <c r="R5" i="2"/>
  <c r="P6" i="2"/>
  <c r="R6" i="2"/>
  <c r="R7" i="2"/>
  <c r="D10" i="2"/>
  <c r="D3" i="2"/>
  <c r="H14" i="2"/>
  <c r="H13" i="2"/>
  <c r="H10" i="2"/>
  <c r="H7" i="2"/>
  <c r="H6" i="2"/>
  <c r="H2" i="2"/>
  <c r="C17" i="2"/>
  <c r="D17" i="2" s="1"/>
  <c r="E17" i="2" s="1"/>
  <c r="E5" i="7"/>
  <c r="C4" i="7"/>
  <c r="D4" i="7" s="1"/>
  <c r="E4" i="7" s="1"/>
  <c r="E29" i="6"/>
  <c r="A26" i="6"/>
  <c r="C26" i="6" s="1"/>
  <c r="H29" i="6"/>
  <c r="E28" i="6"/>
  <c r="H28" i="6" s="1"/>
  <c r="H27" i="6"/>
  <c r="E27" i="6"/>
  <c r="H26" i="6"/>
  <c r="E19" i="6"/>
  <c r="H19" i="6" s="1"/>
  <c r="E18" i="6"/>
  <c r="H18" i="6" s="1"/>
  <c r="E17" i="6"/>
  <c r="H17" i="6" s="1"/>
  <c r="H16" i="6"/>
  <c r="A16" i="6"/>
  <c r="C16" i="6" s="1"/>
  <c r="G9" i="6"/>
  <c r="H8" i="6"/>
  <c r="G8" i="6"/>
  <c r="B8" i="6"/>
  <c r="M4" i="6"/>
  <c r="K4" i="6"/>
  <c r="K3" i="6"/>
  <c r="M3" i="6" s="1"/>
  <c r="K2" i="6"/>
  <c r="M2" i="6" s="1"/>
  <c r="B34" i="1"/>
  <c r="C34" i="1" s="1"/>
  <c r="B23" i="1"/>
  <c r="B24" i="1"/>
  <c r="B29" i="1"/>
  <c r="B30" i="1"/>
  <c r="B22" i="1"/>
  <c r="C22" i="1" s="1"/>
  <c r="E18" i="1"/>
  <c r="D19" i="1"/>
  <c r="D2" i="1"/>
  <c r="L5" i="2"/>
  <c r="L4" i="2"/>
  <c r="L3" i="2"/>
  <c r="L2" i="2"/>
  <c r="C7" i="2"/>
  <c r="E7" i="2" s="1"/>
  <c r="C14" i="2"/>
  <c r="D4" i="2"/>
  <c r="D2" i="2"/>
  <c r="D5" i="1" l="1"/>
  <c r="D6" i="1"/>
  <c r="D7" i="1"/>
  <c r="D15" i="1"/>
  <c r="D8" i="1"/>
  <c r="D16" i="1"/>
  <c r="D14" i="1"/>
  <c r="B6" i="1"/>
  <c r="D9" i="1"/>
  <c r="D13" i="1"/>
  <c r="D10" i="1"/>
  <c r="C30" i="1"/>
  <c r="F18" i="1"/>
  <c r="B12" i="1"/>
  <c r="B7" i="1"/>
  <c r="F1" i="1"/>
  <c r="B14" i="1"/>
  <c r="B9" i="1"/>
  <c r="B10" i="1"/>
  <c r="B11" i="1"/>
  <c r="B13" i="1"/>
  <c r="B8" i="1"/>
  <c r="B15" i="1"/>
  <c r="E22" i="1"/>
  <c r="F22" i="1" s="1"/>
  <c r="H1" i="1"/>
  <c r="B16" i="1"/>
  <c r="B5" i="1"/>
  <c r="C5" i="1" s="1"/>
  <c r="H31" i="6"/>
  <c r="H32" i="6" s="1"/>
  <c r="H21" i="6"/>
  <c r="H22" i="6" s="1"/>
  <c r="E34" i="1"/>
  <c r="F34" i="1" s="1"/>
  <c r="H34" i="1" s="1"/>
  <c r="C23" i="1"/>
  <c r="E23" i="1" s="1"/>
  <c r="F23" i="1" s="1"/>
  <c r="E5" i="1" l="1"/>
  <c r="F5" i="1" s="1"/>
  <c r="G6" i="1" s="1"/>
  <c r="C6" i="1"/>
  <c r="E6" i="1" s="1"/>
  <c r="F6" i="1" s="1"/>
  <c r="C24" i="1"/>
  <c r="E24" i="1" s="1"/>
  <c r="F24" i="1" s="1"/>
  <c r="G24" i="1"/>
  <c r="H22" i="1"/>
  <c r="G23" i="1"/>
  <c r="H23" i="1" s="1"/>
  <c r="H5" i="1" l="1"/>
  <c r="G7" i="1"/>
  <c r="C7" i="1"/>
  <c r="E7" i="1" s="1"/>
  <c r="F7" i="1" s="1"/>
  <c r="H24" i="1"/>
  <c r="H6" i="1" l="1"/>
  <c r="H7" i="1"/>
  <c r="C8" i="1"/>
  <c r="G8" i="1" l="1"/>
  <c r="E8" i="1"/>
  <c r="C9" i="1"/>
  <c r="F8" i="1" l="1"/>
  <c r="H8" i="1" s="1"/>
  <c r="E9" i="1"/>
  <c r="F9" i="1" s="1"/>
  <c r="C10" i="1"/>
  <c r="E10" i="1" s="1"/>
  <c r="F10" i="1" s="1"/>
  <c r="G9" i="1" l="1"/>
  <c r="H9" i="1" s="1"/>
  <c r="G10" i="1"/>
  <c r="G11" i="1"/>
  <c r="C11" i="1"/>
  <c r="E29" i="1"/>
  <c r="F29" i="1" s="1"/>
  <c r="H10" i="1" l="1"/>
  <c r="C12" i="1"/>
  <c r="E12" i="1" s="1"/>
  <c r="F12" i="1" s="1"/>
  <c r="E11" i="1"/>
  <c r="F11" i="1" s="1"/>
  <c r="G30" i="1"/>
  <c r="E30" i="1"/>
  <c r="F30" i="1" s="1"/>
  <c r="C13" i="1" l="1"/>
  <c r="E13" i="1" s="1"/>
  <c r="F13" i="1" s="1"/>
  <c r="G12" i="1"/>
  <c r="H12" i="1" s="1"/>
  <c r="H30" i="1"/>
  <c r="G13" i="1"/>
  <c r="C14" i="1" l="1"/>
  <c r="E14" i="1" s="1"/>
  <c r="F14" i="1" s="1"/>
  <c r="H11" i="1"/>
  <c r="H13" i="1"/>
  <c r="G14" i="1"/>
  <c r="C15" i="1" l="1"/>
  <c r="E15" i="1" s="1"/>
  <c r="F15" i="1" s="1"/>
  <c r="H14" i="1"/>
  <c r="G15" i="1"/>
  <c r="C16" i="1" l="1"/>
  <c r="E16" i="1" s="1"/>
  <c r="F16" i="1" s="1"/>
  <c r="H15" i="1"/>
  <c r="G16" i="1"/>
  <c r="H16" i="1" l="1"/>
</calcChain>
</file>

<file path=xl/sharedStrings.xml><?xml version="1.0" encoding="utf-8"?>
<sst xmlns="http://schemas.openxmlformats.org/spreadsheetml/2006/main" count="467" uniqueCount="319">
  <si>
    <t>MONTH</t>
  </si>
  <si>
    <t>PAY THIS MONTH</t>
  </si>
  <si>
    <t>A</t>
  </si>
  <si>
    <t>PAY TO DATE</t>
  </si>
  <si>
    <t>TAX DUE TO DATE</t>
  </si>
  <si>
    <t>TAX PAID TO DATE</t>
  </si>
  <si>
    <t>TAX THIS MONTH</t>
  </si>
  <si>
    <t>APRIL</t>
  </si>
  <si>
    <t>MAY</t>
  </si>
  <si>
    <t>JUNE</t>
  </si>
  <si>
    <t>JULY</t>
  </si>
  <si>
    <t>AUGUST</t>
  </si>
  <si>
    <t>SEPTEMBER</t>
  </si>
  <si>
    <t>OCTOBER</t>
  </si>
  <si>
    <t>NOVEMBER</t>
  </si>
  <si>
    <t>DECEMBER</t>
  </si>
  <si>
    <t>JANUARY</t>
  </si>
  <si>
    <t>FEBRUARY</t>
  </si>
  <si>
    <t>MARCH</t>
  </si>
  <si>
    <t>TAXABLE               (DO NOT INCLUDE PENCE)</t>
  </si>
  <si>
    <t>TAX FREE PAY TO DATE</t>
  </si>
  <si>
    <t>Taxpayer's name:</t>
  </si>
  <si>
    <t>Pay per month:</t>
  </si>
  <si>
    <t>Allowance per Month:</t>
  </si>
  <si>
    <t>New Allowance per Month</t>
  </si>
  <si>
    <r>
      <rPr>
        <b/>
        <sz val="12"/>
        <color theme="1"/>
        <rFont val="Verdana"/>
        <family val="2"/>
      </rPr>
      <t>B</t>
    </r>
    <r>
      <rPr>
        <b/>
        <sz val="10"/>
        <color theme="1"/>
        <rFont val="Verdana"/>
        <family val="2"/>
      </rPr>
      <t xml:space="preserve">                                 (A + Previous B entry)</t>
    </r>
  </si>
  <si>
    <r>
      <rPr>
        <b/>
        <sz val="12"/>
        <color theme="1"/>
        <rFont val="Verdana"/>
        <family val="2"/>
      </rPr>
      <t>C</t>
    </r>
    <r>
      <rPr>
        <b/>
        <sz val="10"/>
        <color theme="1"/>
        <rFont val="Verdana"/>
        <family val="2"/>
      </rPr>
      <t xml:space="preserve">                                 (Allowance + previous C entry)</t>
    </r>
  </si>
  <si>
    <r>
      <rPr>
        <b/>
        <sz val="12"/>
        <color theme="1"/>
        <rFont val="Verdana"/>
        <family val="2"/>
      </rPr>
      <t>D</t>
    </r>
    <r>
      <rPr>
        <b/>
        <sz val="10"/>
        <color theme="1"/>
        <rFont val="Verdana"/>
        <family val="2"/>
      </rPr>
      <t xml:space="preserve">                            (Column B minus C)</t>
    </r>
  </si>
  <si>
    <r>
      <rPr>
        <b/>
        <sz val="12"/>
        <color theme="1"/>
        <rFont val="Verdana"/>
        <family val="2"/>
      </rPr>
      <t xml:space="preserve">E </t>
    </r>
    <r>
      <rPr>
        <b/>
        <sz val="10"/>
        <color theme="1"/>
        <rFont val="Verdana"/>
        <family val="2"/>
      </rPr>
      <t xml:space="preserve">                                (Tax due on D)</t>
    </r>
  </si>
  <si>
    <r>
      <rPr>
        <b/>
        <sz val="12"/>
        <color theme="1"/>
        <rFont val="Verdana"/>
        <family val="2"/>
      </rPr>
      <t xml:space="preserve">F </t>
    </r>
    <r>
      <rPr>
        <b/>
        <sz val="10"/>
        <color theme="1"/>
        <rFont val="Verdana"/>
        <family val="2"/>
      </rPr>
      <t xml:space="preserve">                               (Previous E entry)</t>
    </r>
  </si>
  <si>
    <r>
      <rPr>
        <b/>
        <sz val="12"/>
        <color theme="1"/>
        <rFont val="Verdana"/>
        <family val="2"/>
      </rPr>
      <t xml:space="preserve">G </t>
    </r>
    <r>
      <rPr>
        <b/>
        <sz val="10"/>
        <color theme="1"/>
        <rFont val="Verdana"/>
        <family val="2"/>
      </rPr>
      <t xml:space="preserve">                                       (Column E minus F)</t>
    </r>
  </si>
  <si>
    <t>Amount</t>
  </si>
  <si>
    <t>Rate</t>
  </si>
  <si>
    <t>Total</t>
  </si>
  <si>
    <t>Allowance</t>
  </si>
  <si>
    <t>Deduction</t>
  </si>
  <si>
    <t>Net</t>
  </si>
  <si>
    <t>Employments summary</t>
  </si>
  <si>
    <t>Employer</t>
  </si>
  <si>
    <t>start date</t>
  </si>
  <si>
    <t>End date</t>
  </si>
  <si>
    <t>Source</t>
  </si>
  <si>
    <t>Date source</t>
  </si>
  <si>
    <t>Tax Code</t>
  </si>
  <si>
    <t>W1/M1</t>
  </si>
  <si>
    <t>RTI</t>
  </si>
  <si>
    <t>FPS</t>
  </si>
  <si>
    <t>no</t>
  </si>
  <si>
    <t>Pay Amount</t>
  </si>
  <si>
    <t>Tax Amount</t>
  </si>
  <si>
    <t>IABD Summary</t>
  </si>
  <si>
    <t>New Estimate Earning</t>
  </si>
  <si>
    <t>RTI Data</t>
  </si>
  <si>
    <t>pmt/rcvd Date</t>
  </si>
  <si>
    <t>UCA (User Calculation Assistant)</t>
  </si>
  <si>
    <t>Pay to Date</t>
  </si>
  <si>
    <t>Tax to Date</t>
  </si>
  <si>
    <t>End Date</t>
  </si>
  <si>
    <t>W/M</t>
  </si>
  <si>
    <t>W/M No</t>
  </si>
  <si>
    <t>From IABD 'TELEPHONE CALL' or 'CALCULATION ONLY'</t>
  </si>
  <si>
    <t>Ask New estimated income ?</t>
  </si>
  <si>
    <t>Scotland</t>
  </si>
  <si>
    <t>Name</t>
  </si>
  <si>
    <t>Penal Indicator</t>
  </si>
  <si>
    <t>Special Business Area</t>
  </si>
  <si>
    <t>Other Indicator</t>
  </si>
  <si>
    <t>NINO</t>
  </si>
  <si>
    <t>No</t>
  </si>
  <si>
    <t>Emp Type</t>
  </si>
  <si>
    <t>P Ceased</t>
  </si>
  <si>
    <t>Taxable Pay to Date</t>
  </si>
  <si>
    <t>Total Tax to Date</t>
  </si>
  <si>
    <t>wk/Mo No</t>
  </si>
  <si>
    <t>Tax Year</t>
  </si>
  <si>
    <t>NPS -&gt; Tax Tables Calculator</t>
  </si>
  <si>
    <t>Benefit</t>
  </si>
  <si>
    <t>month bef</t>
  </si>
  <si>
    <t>Underpaid</t>
  </si>
  <si>
    <t>In Year Adj</t>
  </si>
  <si>
    <t>Collect in remain month</t>
  </si>
  <si>
    <t>yes</t>
  </si>
  <si>
    <t>-</t>
  </si>
  <si>
    <t>Primary</t>
  </si>
  <si>
    <t>Estimate Pay</t>
  </si>
  <si>
    <t>Estimated Tax</t>
  </si>
  <si>
    <t>Date</t>
  </si>
  <si>
    <t>Tax Allowance</t>
  </si>
  <si>
    <t>Rate Band</t>
  </si>
  <si>
    <t>&gt;125140</t>
  </si>
  <si>
    <t>Wales</t>
  </si>
  <si>
    <t>Tax</t>
  </si>
  <si>
    <t>Monthly Allowance</t>
  </si>
  <si>
    <t>Month Pay bef tax</t>
  </si>
  <si>
    <t>Calculator</t>
  </si>
  <si>
    <t>*0.2 =</t>
  </si>
  <si>
    <t>/0.2 =</t>
  </si>
  <si>
    <t>*0.4=</t>
  </si>
  <si>
    <t>*0.45=</t>
  </si>
  <si>
    <t>Tax Code Amount:</t>
  </si>
  <si>
    <t>Annual Salary:</t>
  </si>
  <si>
    <t>New Tax Code Amt</t>
  </si>
  <si>
    <t>Allowance per Weeks:</t>
  </si>
  <si>
    <t>Pay per weeks:</t>
  </si>
  <si>
    <t>WEEK</t>
  </si>
  <si>
    <t>TAX THIS WEEK</t>
  </si>
  <si>
    <t>Amt</t>
  </si>
  <si>
    <t>Tax Rate</t>
  </si>
  <si>
    <t xml:space="preserve">Pay to Date </t>
  </si>
  <si>
    <t>NPS Tax Cal</t>
  </si>
  <si>
    <t>wk/mo#</t>
  </si>
  <si>
    <t>Period Pay</t>
  </si>
  <si>
    <t>Tax Deduct</t>
  </si>
  <si>
    <t>Pay after</t>
  </si>
  <si>
    <t>NIC</t>
  </si>
  <si>
    <t>Empee Pension</t>
  </si>
  <si>
    <t>SK564</t>
  </si>
  <si>
    <t>Allow</t>
  </si>
  <si>
    <t>S314L</t>
  </si>
  <si>
    <t>Employ Pen to Date</t>
  </si>
  <si>
    <t>SD0</t>
  </si>
  <si>
    <t>S519T</t>
  </si>
  <si>
    <t>Cum</t>
  </si>
  <si>
    <t>Tax Due</t>
  </si>
  <si>
    <t>Tax Result</t>
  </si>
  <si>
    <t>Year Amt</t>
  </si>
  <si>
    <t>Tax Code All</t>
  </si>
  <si>
    <t>Month</t>
  </si>
  <si>
    <t>Net Pay</t>
  </si>
  <si>
    <t>Pay to Year</t>
  </si>
  <si>
    <t>Year All</t>
  </si>
  <si>
    <t>Tax 2023/24</t>
  </si>
  <si>
    <t>1-2306</t>
  </si>
  <si>
    <t>31093-62430</t>
  </si>
  <si>
    <t>1-2162</t>
  </si>
  <si>
    <t>2163-13118</t>
  </si>
  <si>
    <t>13119-31092</t>
  </si>
  <si>
    <t>31093-125140</t>
  </si>
  <si>
    <t>&gt;125141</t>
  </si>
  <si>
    <t>Year Tax</t>
  </si>
  <si>
    <t>Monthly Tax</t>
  </si>
  <si>
    <t>Comp1-Aug</t>
  </si>
  <si>
    <t>Comp1-Sept</t>
  </si>
  <si>
    <t>Comp1-Oct</t>
  </si>
  <si>
    <t>Comp2-wk-Oct</t>
  </si>
  <si>
    <t>Comp3-wk-Aug</t>
  </si>
  <si>
    <t>Year Rate Band</t>
  </si>
  <si>
    <t>2307-13991</t>
  </si>
  <si>
    <t>2024/25</t>
  </si>
  <si>
    <t>13992-31092</t>
  </si>
  <si>
    <t>62431-125140</t>
  </si>
  <si>
    <t>SxxxL</t>
  </si>
  <si>
    <t>CxxxL</t>
  </si>
  <si>
    <t>£2400 starting on 01 December 2017</t>
  </si>
  <si>
    <t>In Year Adjustment: £320.00 x 100/20 = £1600.00 x 365/122 = 4786 (05/12/17 to 05/04/18 = 122 days)</t>
  </si>
  <si>
    <t>Collect In Year: 4786 x 1/12 = 398.83 x 20% = £79.76 x 4 = £319.04</t>
  </si>
  <si>
    <t>Tax Due to date: £2,400 @ 20% = £480.00 x 8/12 = £320.00.</t>
  </si>
  <si>
    <t>Year Benefit</t>
  </si>
  <si>
    <t>Missing month</t>
  </si>
  <si>
    <t>In Year adj</t>
  </si>
  <si>
    <t>Missing Tax Amt with rate 20%</t>
  </si>
  <si>
    <t>Note:</t>
  </si>
  <si>
    <t>In Year Adjustment Calculation by Month (not Day);  for example with benefit of £2400 on beginning of Dec i.e. Miss 8 month of Tax</t>
  </si>
  <si>
    <t>Tax from IYA for rest of month</t>
  </si>
  <si>
    <t>In-Year Adj per month</t>
  </si>
  <si>
    <t>Multiple</t>
  </si>
  <si>
    <t>divide</t>
  </si>
  <si>
    <t>Date Diff</t>
  </si>
  <si>
    <t>From</t>
  </si>
  <si>
    <t>Add</t>
  </si>
  <si>
    <t>week no</t>
  </si>
  <si>
    <t>Minus</t>
  </si>
  <si>
    <t>To</t>
  </si>
  <si>
    <t>Underpayment</t>
  </si>
  <si>
    <t>Reconciliation</t>
  </si>
  <si>
    <t>Year Code out</t>
  </si>
  <si>
    <t>2023/24</t>
  </si>
  <si>
    <t>Personal All</t>
  </si>
  <si>
    <t>Expense</t>
  </si>
  <si>
    <t>Secondary</t>
  </si>
  <si>
    <t>Yearly Paid</t>
  </si>
  <si>
    <t>Year Paid bef Tax</t>
  </si>
  <si>
    <t>day diff</t>
  </si>
  <si>
    <t>Remark: Input in Grey Color Cell</t>
  </si>
  <si>
    <t>PAY THIS Week</t>
  </si>
  <si>
    <t>Week Number</t>
  </si>
  <si>
    <t>Week Commencing</t>
  </si>
  <si>
    <t>1 </t>
  </si>
  <si>
    <t>06 Apr 2024 </t>
  </si>
  <si>
    <t>2 </t>
  </si>
  <si>
    <t>13 Apr 2024 </t>
  </si>
  <si>
    <t>3 </t>
  </si>
  <si>
    <t>20 Apr 2024 </t>
  </si>
  <si>
    <t>4 </t>
  </si>
  <si>
    <t>27 Apr 2024 </t>
  </si>
  <si>
    <t>5 </t>
  </si>
  <si>
    <t>04 May 2024 </t>
  </si>
  <si>
    <t>6 </t>
  </si>
  <si>
    <t>11 May 2024 </t>
  </si>
  <si>
    <t>7 </t>
  </si>
  <si>
    <t>18 May 2024 </t>
  </si>
  <si>
    <t>8 </t>
  </si>
  <si>
    <t>25 May 2024 </t>
  </si>
  <si>
    <t>9 </t>
  </si>
  <si>
    <t>01 Jun 2024 </t>
  </si>
  <si>
    <t>10 </t>
  </si>
  <si>
    <t>08 Jun 2024 </t>
  </si>
  <si>
    <t>11 </t>
  </si>
  <si>
    <t>15 Jun 2024 </t>
  </si>
  <si>
    <t>12 </t>
  </si>
  <si>
    <t>22 Jun 2024 </t>
  </si>
  <si>
    <t>13 </t>
  </si>
  <si>
    <t>29 Jun 2024 </t>
  </si>
  <si>
    <t>14 </t>
  </si>
  <si>
    <t>06 Jul 2024 </t>
  </si>
  <si>
    <t>15 </t>
  </si>
  <si>
    <t>13 Jul 2024 </t>
  </si>
  <si>
    <t>16 </t>
  </si>
  <si>
    <t>20 Jul 2024 </t>
  </si>
  <si>
    <t>17 </t>
  </si>
  <si>
    <t>27 Jul 2024 </t>
  </si>
  <si>
    <t>18 </t>
  </si>
  <si>
    <t>03 Aug 2024 </t>
  </si>
  <si>
    <t>19 </t>
  </si>
  <si>
    <t>10 Aug 2024 </t>
  </si>
  <si>
    <t>20 </t>
  </si>
  <si>
    <t>17 Aug 2024 </t>
  </si>
  <si>
    <t>21 </t>
  </si>
  <si>
    <t>24 Aug 2024 </t>
  </si>
  <si>
    <t>22 </t>
  </si>
  <si>
    <t>31 Aug 2024 </t>
  </si>
  <si>
    <t>23 </t>
  </si>
  <si>
    <t>07 Sep 2024 </t>
  </si>
  <si>
    <t>24 </t>
  </si>
  <si>
    <t>14 Sep 2024 </t>
  </si>
  <si>
    <t>25 </t>
  </si>
  <si>
    <t>21 Sep 2024 </t>
  </si>
  <si>
    <t>26 </t>
  </si>
  <si>
    <t>28 Sep 2024 </t>
  </si>
  <si>
    <t>27 </t>
  </si>
  <si>
    <t>05 Oct 2024 </t>
  </si>
  <si>
    <t>28 </t>
  </si>
  <si>
    <t>12 Oct 2024 </t>
  </si>
  <si>
    <t>29 </t>
  </si>
  <si>
    <t>19 Oct 2024 </t>
  </si>
  <si>
    <t>30 </t>
  </si>
  <si>
    <t>26 Oct 2024 </t>
  </si>
  <si>
    <t>31 </t>
  </si>
  <si>
    <t>02 Nov 2024 </t>
  </si>
  <si>
    <t>32 </t>
  </si>
  <si>
    <t>09 Nov 2024 </t>
  </si>
  <si>
    <t>33 </t>
  </si>
  <si>
    <t>16 Nov 2024 </t>
  </si>
  <si>
    <t>34 </t>
  </si>
  <si>
    <t>23 Nov 2024 </t>
  </si>
  <si>
    <t>35 </t>
  </si>
  <si>
    <t>30 Nov 2024 </t>
  </si>
  <si>
    <t>36 </t>
  </si>
  <si>
    <t>07 Dec 2024 </t>
  </si>
  <si>
    <t>37 </t>
  </si>
  <si>
    <t>14 Dec 2024 </t>
  </si>
  <si>
    <t>38 </t>
  </si>
  <si>
    <t>21 Dec 2024 </t>
  </si>
  <si>
    <t>39 </t>
  </si>
  <si>
    <t>28 Dec 2024 </t>
  </si>
  <si>
    <t>40 </t>
  </si>
  <si>
    <t>04 Jan 2025 </t>
  </si>
  <si>
    <t>41 </t>
  </si>
  <si>
    <t>11 Jan 2025 </t>
  </si>
  <si>
    <t>42 </t>
  </si>
  <si>
    <t>18 Jan 2025 </t>
  </si>
  <si>
    <t>43 </t>
  </si>
  <si>
    <t>25 Jan 2025 </t>
  </si>
  <si>
    <t>44 </t>
  </si>
  <si>
    <t>01 Feb 2025 </t>
  </si>
  <si>
    <t>45 </t>
  </si>
  <si>
    <t>08 Feb 2025 </t>
  </si>
  <si>
    <t>46 </t>
  </si>
  <si>
    <t>15 Feb 2025 </t>
  </si>
  <si>
    <t>47 </t>
  </si>
  <si>
    <t>22 Feb 2025 </t>
  </si>
  <si>
    <t>48 </t>
  </si>
  <si>
    <t>01 Mar 2025 </t>
  </si>
  <si>
    <t>49 </t>
  </si>
  <si>
    <t>08 Mar 2025 </t>
  </si>
  <si>
    <t>50 </t>
  </si>
  <si>
    <t>15 Mar 2025 </t>
  </si>
  <si>
    <t>51 </t>
  </si>
  <si>
    <t>22 Mar 2025 </t>
  </si>
  <si>
    <t>52 </t>
  </si>
  <si>
    <t>29 Mar 2025 </t>
  </si>
  <si>
    <t>Month Number</t>
  </si>
  <si>
    <t>Month Commencing</t>
  </si>
  <si>
    <t>06 May 2024 </t>
  </si>
  <si>
    <t>06 Jun 2024 </t>
  </si>
  <si>
    <t>06 Aug 2024 </t>
  </si>
  <si>
    <t>06 Sep 2024 </t>
  </si>
  <si>
    <t>06 Oct 2024 </t>
  </si>
  <si>
    <t>06 Nov 2024 </t>
  </si>
  <si>
    <t>06 Dec 2024 </t>
  </si>
  <si>
    <t>06 Jan 2025 </t>
  </si>
  <si>
    <t>06 Feb 2025 </t>
  </si>
  <si>
    <t>06 Mar 2025 </t>
  </si>
  <si>
    <t>Input Date</t>
  </si>
  <si>
    <t>Month # /</t>
  </si>
  <si>
    <t>Month Number2</t>
  </si>
  <si>
    <t>Month Commencing3</t>
  </si>
  <si>
    <t>Week Number2</t>
  </si>
  <si>
    <t>Week Commencing3</t>
  </si>
  <si>
    <t>Week Number4</t>
  </si>
  <si>
    <t>Week Commencing5</t>
  </si>
  <si>
    <t>Week Number6</t>
  </si>
  <si>
    <t>Week Commencing7</t>
  </si>
  <si>
    <t>Day # Before 5 Apr2025</t>
  </si>
  <si>
    <t>Day # After 6 Apr2024</t>
  </si>
  <si>
    <t>Start Date</t>
  </si>
  <si>
    <t>Number of week</t>
  </si>
  <si>
    <t>Start High rate bank monthly Earn for 12570 allowance</t>
  </si>
  <si>
    <t>Note: Grey color cell is input field.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</si>
</sst>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quot;£&quot;#,##0.00"/>
  </numFmts>
  <fonts count="10" x14ac:knownFonts="1">
    <font>
      <sz val="11"/>
      <color theme="1"/>
      <name val="Calibri"/>
      <family val="2"/>
      <scheme val="minor"/>
    </font>
    <font>
      <b/>
      <sz val="10"/>
      <color theme="1"/>
      <name val="Verdana"/>
      <family val="2"/>
    </font>
    <font>
      <b/>
      <sz val="14"/>
      <color theme="1"/>
      <name val="Calibri"/>
      <family val="2"/>
      <scheme val="minor"/>
    </font>
    <font>
      <sz val="14"/>
      <color theme="1"/>
      <name val="Calibri"/>
      <family val="2"/>
      <scheme val="minor"/>
    </font>
    <font>
      <b/>
      <sz val="14"/>
      <color theme="1"/>
      <name val="Verdana"/>
      <family val="2"/>
    </font>
    <font>
      <b/>
      <sz val="12"/>
      <color theme="1"/>
      <name val="Verdana"/>
      <family val="2"/>
    </font>
    <font>
      <b/>
      <sz val="8"/>
      <color theme="1"/>
      <name val="Verdana"/>
      <family val="2"/>
    </font>
    <font>
      <sz val="8"/>
      <color rgb="FF212529"/>
      <name val="Segoe UI"/>
      <family val="2"/>
    </font>
    <font>
      <b/>
      <sz val="11"/>
      <color theme="1"/>
      <name val="Calibri"/>
      <family val="2"/>
      <scheme val="minor"/>
    </font>
    <font>
      <b/>
      <sz val="18"/>
      <color theme="1"/>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4" tint="0.39997558519241921"/>
        <bgColor indexed="64"/>
      </patternFill>
    </fill>
  </fills>
  <borders count="9">
    <border>
      <left/>
      <right/>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bottom/>
      <diagonal/>
    </border>
    <border>
      <left style="thick">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66">
    <xf numFmtId="0" fontId="0" fillId="0" borderId="0" xfId="0"/>
    <xf numFmtId="0" fontId="1" fillId="0" borderId="1" xfId="0" applyFont="1" applyBorder="1" applyAlignment="1">
      <alignment horizontal="center" vertical="center" wrapText="1"/>
    </xf>
    <xf numFmtId="0" fontId="2" fillId="0" borderId="2" xfId="0" applyFont="1" applyBorder="1" applyAlignment="1" applyProtection="1">
      <alignment horizontal="center" vertical="center" wrapText="1"/>
      <protection locked="0"/>
    </xf>
    <xf numFmtId="0" fontId="2" fillId="0" borderId="3" xfId="0" applyFont="1" applyBorder="1" applyAlignment="1" applyProtection="1">
      <alignment horizontal="center" vertical="center" wrapText="1"/>
      <protection locked="0"/>
    </xf>
    <xf numFmtId="0" fontId="2" fillId="0" borderId="3" xfId="0" applyFont="1" applyBorder="1" applyAlignment="1" applyProtection="1">
      <alignment horizontal="center" vertical="center" wrapText="1" shrinkToFit="1"/>
      <protection locked="0"/>
    </xf>
    <xf numFmtId="0" fontId="2" fillId="0" borderId="1" xfId="0" applyFont="1" applyBorder="1" applyAlignment="1" applyProtection="1">
      <alignment horizontal="center" vertical="center" wrapText="1"/>
      <protection locked="0"/>
    </xf>
    <xf numFmtId="164" fontId="2" fillId="0" borderId="1" xfId="0" applyNumberFormat="1" applyFont="1" applyBorder="1" applyAlignment="1" applyProtection="1">
      <alignment horizontal="center" vertical="center" wrapText="1"/>
      <protection locked="0"/>
    </xf>
    <xf numFmtId="0" fontId="3" fillId="0" borderId="4" xfId="0" applyFont="1" applyBorder="1" applyAlignment="1">
      <alignment horizontal="center" vertical="center"/>
    </xf>
    <xf numFmtId="0" fontId="2" fillId="0" borderId="0" xfId="0" applyNumberFormat="1" applyFont="1" applyAlignment="1">
      <alignment horizontal="center" vertical="center"/>
    </xf>
    <xf numFmtId="0" fontId="2" fillId="0" borderId="1" xfId="0" applyNumberFormat="1" applyFont="1" applyBorder="1" applyAlignment="1">
      <alignment horizontal="center" vertical="center"/>
    </xf>
    <xf numFmtId="4" fontId="1" fillId="0" borderId="1" xfId="0" applyNumberFormat="1" applyFont="1" applyFill="1" applyBorder="1" applyAlignment="1">
      <alignment horizontal="center" vertical="center" wrapText="1"/>
    </xf>
    <xf numFmtId="0" fontId="4"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0" fontId="0" fillId="0" borderId="0" xfId="0" applyAlignment="1">
      <alignment wrapText="1"/>
    </xf>
    <xf numFmtId="14" fontId="0" fillId="0" borderId="0" xfId="0" applyNumberFormat="1"/>
    <xf numFmtId="1" fontId="0" fillId="0" borderId="0" xfId="0" applyNumberFormat="1"/>
    <xf numFmtId="16" fontId="0" fillId="0" borderId="0" xfId="0" applyNumberFormat="1"/>
    <xf numFmtId="0" fontId="0" fillId="0" borderId="0" xfId="0" quotePrefix="1"/>
    <xf numFmtId="0" fontId="0" fillId="0" borderId="0" xfId="0" applyAlignment="1">
      <alignment horizontal="right"/>
    </xf>
    <xf numFmtId="0" fontId="0" fillId="3" borderId="0" xfId="0" applyFill="1"/>
    <xf numFmtId="0" fontId="0" fillId="0" borderId="0" xfId="0" applyFill="1"/>
    <xf numFmtId="0" fontId="4" fillId="4"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3" fontId="1" fillId="0" borderId="1" xfId="0" applyNumberFormat="1" applyFont="1" applyFill="1" applyBorder="1" applyAlignment="1">
      <alignment horizontal="center" vertical="center" wrapText="1"/>
    </xf>
    <xf numFmtId="2" fontId="2" fillId="0" borderId="0" xfId="0" applyNumberFormat="1" applyFont="1" applyAlignment="1">
      <alignment horizontal="center" vertical="center"/>
    </xf>
    <xf numFmtId="164" fontId="2" fillId="0" borderId="1" xfId="0" applyNumberFormat="1" applyFont="1" applyFill="1" applyBorder="1" applyAlignment="1" applyProtection="1">
      <alignment horizontal="center" vertical="center" wrapText="1"/>
      <protection locked="0"/>
    </xf>
    <xf numFmtId="4" fontId="1" fillId="3" borderId="1" xfId="0" applyNumberFormat="1" applyFont="1" applyFill="1" applyBorder="1" applyAlignment="1">
      <alignment horizontal="center" vertical="center" wrapText="1"/>
    </xf>
    <xf numFmtId="14" fontId="0" fillId="0" borderId="0" xfId="0" applyNumberFormat="1" applyFill="1"/>
    <xf numFmtId="1" fontId="0" fillId="0" borderId="0" xfId="0" applyNumberFormat="1" applyFill="1"/>
    <xf numFmtId="0" fontId="0" fillId="0" borderId="0" xfId="0" applyNumberFormat="1" applyFill="1"/>
    <xf numFmtId="17" fontId="0" fillId="0" borderId="0" xfId="0" quotePrefix="1" applyNumberFormat="1"/>
    <xf numFmtId="0" fontId="7" fillId="0" borderId="0" xfId="0" applyFont="1"/>
    <xf numFmtId="2" fontId="0" fillId="0" borderId="0" xfId="0" applyNumberFormat="1"/>
    <xf numFmtId="164" fontId="2" fillId="5" borderId="1" xfId="0" applyNumberFormat="1" applyFont="1" applyFill="1" applyBorder="1" applyAlignment="1" applyProtection="1">
      <alignment horizontal="center" vertical="center" wrapText="1"/>
      <protection locked="0"/>
    </xf>
    <xf numFmtId="0" fontId="2" fillId="5" borderId="3" xfId="0" applyFont="1" applyFill="1" applyBorder="1" applyAlignment="1" applyProtection="1">
      <alignment horizontal="center" vertical="center" wrapText="1"/>
      <protection locked="0"/>
    </xf>
    <xf numFmtId="165" fontId="2" fillId="5" borderId="1" xfId="0" applyNumberFormat="1" applyFont="1" applyFill="1" applyBorder="1" applyAlignment="1" applyProtection="1">
      <alignment horizontal="center" vertical="center" wrapText="1"/>
      <protection locked="0"/>
    </xf>
    <xf numFmtId="0" fontId="2" fillId="3" borderId="1" xfId="0" applyFont="1" applyFill="1" applyBorder="1" applyAlignment="1" applyProtection="1">
      <alignment horizontal="center" vertical="center" wrapText="1"/>
      <protection locked="0"/>
    </xf>
    <xf numFmtId="0" fontId="9" fillId="3" borderId="1" xfId="0" applyFont="1" applyFill="1" applyBorder="1" applyAlignment="1" applyProtection="1">
      <alignment horizontal="left" vertical="center"/>
      <protection locked="0"/>
    </xf>
    <xf numFmtId="0" fontId="2" fillId="3" borderId="2" xfId="0" applyFont="1" applyFill="1" applyBorder="1" applyAlignment="1" applyProtection="1">
      <alignment horizontal="center" vertical="center" wrapText="1"/>
      <protection locked="0"/>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1" fillId="6" borderId="4"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8" fillId="0" borderId="0" xfId="0" applyFont="1" applyAlignment="1">
      <alignment horizontal="left" vertical="center" wrapText="1"/>
    </xf>
    <xf numFmtId="0" fontId="0" fillId="0" borderId="0" xfId="0" applyAlignment="1">
      <alignment vertical="center" wrapText="1"/>
    </xf>
    <xf numFmtId="0" fontId="0" fillId="0" borderId="6" xfId="0" applyBorder="1"/>
    <xf numFmtId="0" fontId="0" fillId="0" borderId="5" xfId="0" applyBorder="1"/>
    <xf numFmtId="0" fontId="0" fillId="3" borderId="5" xfId="0" applyFill="1" applyBorder="1"/>
    <xf numFmtId="1" fontId="0" fillId="3" borderId="6" xfId="0" applyNumberFormat="1" applyFill="1" applyBorder="1"/>
    <xf numFmtId="0" fontId="0" fillId="3" borderId="8" xfId="0" applyFill="1" applyBorder="1"/>
    <xf numFmtId="14" fontId="0" fillId="2" borderId="5" xfId="0" applyNumberFormat="1" applyFill="1" applyBorder="1" applyAlignment="1">
      <alignment horizontal="center" vertical="center"/>
    </xf>
    <xf numFmtId="1" fontId="0" fillId="3" borderId="5" xfId="0" applyNumberFormat="1" applyFill="1" applyBorder="1"/>
    <xf numFmtId="14" fontId="0" fillId="0" borderId="5" xfId="0" applyNumberFormat="1" applyBorder="1"/>
    <xf numFmtId="14" fontId="0" fillId="2" borderId="5" xfId="0" applyNumberFormat="1" applyFill="1" applyBorder="1"/>
    <xf numFmtId="0" fontId="0" fillId="7" borderId="5" xfId="0" applyFill="1" applyBorder="1"/>
    <xf numFmtId="0" fontId="0" fillId="7" borderId="6" xfId="0" applyFill="1" applyBorder="1"/>
    <xf numFmtId="0" fontId="0" fillId="7" borderId="8" xfId="0" applyFill="1" applyBorder="1"/>
    <xf numFmtId="0" fontId="0" fillId="7" borderId="5" xfId="0" applyFill="1" applyBorder="1" applyAlignment="1">
      <alignment horizontal="center" vertical="center"/>
    </xf>
    <xf numFmtId="0" fontId="0" fillId="5" borderId="5" xfId="0" applyFill="1" applyBorder="1"/>
    <xf numFmtId="0" fontId="0" fillId="0" borderId="5" xfId="0" applyFill="1" applyBorder="1"/>
    <xf numFmtId="0" fontId="0" fillId="2" borderId="5" xfId="0" applyFill="1" applyBorder="1"/>
    <xf numFmtId="0" fontId="0" fillId="0" borderId="5" xfId="0" quotePrefix="1" applyBorder="1"/>
    <xf numFmtId="14" fontId="0" fillId="5" borderId="5" xfId="0" applyNumberFormat="1" applyFill="1" applyBorder="1"/>
    <xf numFmtId="0" fontId="0" fillId="7" borderId="7" xfId="0" applyFill="1" applyBorder="1"/>
  </cellXfs>
  <cellStyles count="1">
    <cellStyle name="Normal" xfId="0" builtinId="0"/>
  </cellStyles>
  <dxfs count="133">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patternType="none">
          <bgColor auto="1"/>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patternType="none">
          <bgColor auto="1"/>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patternType="none">
          <bgColor auto="1"/>
        </patternFill>
      </fill>
    </dxf>
    <dxf>
      <fill>
        <patternFill>
          <bgColor theme="9" tint="0.39994506668294322"/>
        </patternFill>
      </fill>
    </dxf>
    <dxf>
      <fill>
        <patternFill>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A52DF8-6F4A-4B92-8B88-D6335BAB2D77}" name="Table1" displayName="Table1" ref="J4:M10" totalsRowShown="0">
  <autoFilter ref="J4:M10" xr:uid="{58A52DF8-6F4A-4B92-8B88-D6335BAB2D77}"/>
  <tableColumns count="4">
    <tableColumn id="1" xr3:uid="{75F57BFB-A88E-4928-9017-ED4407D88F43}" name="Month Number"/>
    <tableColumn id="2" xr3:uid="{7D14BCCA-2346-464A-A307-C71182785A27}" name="Month Commencing"/>
    <tableColumn id="3" xr3:uid="{0224B410-F54D-4384-8157-2E11CBD37B43}" name="Month Number2"/>
    <tableColumn id="4" xr3:uid="{2CBF46FF-8A5E-4F5E-9BDF-1CC0F2871765}" name="Month Commencing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18C27B3-DCB4-4711-8587-12218F11F1C4}" name="Table3" displayName="Table3" ref="A4:H17" totalsRowShown="0" headerRowDxfId="9" dataDxfId="8">
  <autoFilter ref="A4:H17" xr:uid="{318C27B3-DCB4-4711-8587-12218F11F1C4}"/>
  <tableColumns count="8">
    <tableColumn id="1" xr3:uid="{6A2BA8DE-8687-424B-B214-7E7312542B41}" name="Week Number" dataDxfId="7"/>
    <tableColumn id="2" xr3:uid="{B7967AB5-E5B0-4012-A1FB-ABD435F92249}" name="Week Commencing" dataDxfId="6"/>
    <tableColumn id="3" xr3:uid="{0F12FE28-6874-4DDE-8A3D-1FA150C9D101}" name="Week Number2" dataDxfId="5"/>
    <tableColumn id="4" xr3:uid="{9FAA3D44-CED5-41D9-8BA9-7D042AA8B3FA}" name="Week Commencing3" dataDxfId="4"/>
    <tableColumn id="5" xr3:uid="{DB11A931-BD9F-4921-8CAE-9909FB64B2F9}" name="Week Number4" dataDxfId="3"/>
    <tableColumn id="6" xr3:uid="{AD47F3E8-1B4B-417A-860E-0D026D243759}" name="Week Commencing5" dataDxfId="2"/>
    <tableColumn id="7" xr3:uid="{362D3D8C-76F6-4C76-BA42-AD629B04B783}" name="Week Number6" dataDxfId="1"/>
    <tableColumn id="8" xr3:uid="{8D771AA4-F64A-4F0A-99BD-9FF60B61E487}" name="Week Commencing7"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I35"/>
  <sheetViews>
    <sheetView zoomScale="90" zoomScaleNormal="90" workbookViewId="0">
      <selection activeCell="E2" sqref="E2"/>
    </sheetView>
  </sheetViews>
  <sheetFormatPr defaultColWidth="0" defaultRowHeight="36" customHeight="1" x14ac:dyDescent="0.35"/>
  <cols>
    <col min="1" max="1" width="21.81640625" customWidth="1"/>
    <col min="2" max="2" width="17.26953125" customWidth="1"/>
    <col min="3" max="3" width="19.54296875" customWidth="1"/>
    <col min="4" max="4" width="20.54296875" customWidth="1"/>
    <col min="5" max="5" width="19.54296875" customWidth="1"/>
    <col min="6" max="6" width="19.6328125" customWidth="1"/>
    <col min="7" max="7" width="20.7265625" customWidth="1"/>
    <col min="8" max="8" width="22.08984375" customWidth="1"/>
    <col min="9" max="9" width="9" customWidth="1"/>
    <col min="10" max="16384" width="9" hidden="1"/>
  </cols>
  <sheetData>
    <row r="1" spans="1:8" ht="19" customHeight="1" thickTop="1" thickBot="1" x14ac:dyDescent="0.4">
      <c r="A1" s="37" t="s">
        <v>183</v>
      </c>
      <c r="B1" s="36"/>
      <c r="C1" s="38"/>
      <c r="D1" s="5" t="s">
        <v>100</v>
      </c>
      <c r="E1" s="33">
        <v>13485.56</v>
      </c>
      <c r="F1" s="7" t="str">
        <f>IF((E1-B2)&gt;33700,"High Rate", "Base Rate")</f>
        <v>Base Rate</v>
      </c>
      <c r="G1" s="5" t="s">
        <v>22</v>
      </c>
      <c r="H1" s="6">
        <f>E1/12</f>
        <v>1123.7966666666666</v>
      </c>
    </row>
    <row r="2" spans="1:8" ht="36" customHeight="1" thickTop="1" thickBot="1" x14ac:dyDescent="0.4">
      <c r="A2" s="5" t="s">
        <v>99</v>
      </c>
      <c r="B2" s="34">
        <v>12570</v>
      </c>
      <c r="C2" s="4" t="s">
        <v>23</v>
      </c>
      <c r="D2" s="8">
        <f>B2/12</f>
        <v>1047.5</v>
      </c>
      <c r="E2" s="3" t="s">
        <v>101</v>
      </c>
      <c r="F2" s="5"/>
      <c r="G2" s="5" t="s">
        <v>24</v>
      </c>
      <c r="H2" s="9"/>
    </row>
    <row r="3" spans="1:8" ht="43" customHeight="1" thickTop="1" thickBot="1" x14ac:dyDescent="0.4">
      <c r="A3" s="21" t="s">
        <v>0</v>
      </c>
      <c r="B3" s="22" t="s">
        <v>1</v>
      </c>
      <c r="C3" s="22" t="s">
        <v>3</v>
      </c>
      <c r="D3" s="22" t="s">
        <v>20</v>
      </c>
      <c r="E3" s="22" t="s">
        <v>19</v>
      </c>
      <c r="F3" s="22" t="s">
        <v>4</v>
      </c>
      <c r="G3" s="1" t="s">
        <v>5</v>
      </c>
      <c r="H3" s="1" t="s">
        <v>6</v>
      </c>
    </row>
    <row r="4" spans="1:8" ht="46" customHeight="1" thickTop="1" thickBot="1" x14ac:dyDescent="0.4">
      <c r="A4" s="39"/>
      <c r="B4" s="40" t="s">
        <v>2</v>
      </c>
      <c r="C4" s="41" t="s">
        <v>25</v>
      </c>
      <c r="D4" s="41" t="s">
        <v>26</v>
      </c>
      <c r="E4" s="42" t="s">
        <v>27</v>
      </c>
      <c r="F4" s="43" t="s">
        <v>28</v>
      </c>
      <c r="G4" s="41" t="s">
        <v>29</v>
      </c>
      <c r="H4" s="42" t="s">
        <v>30</v>
      </c>
    </row>
    <row r="5" spans="1:8" ht="21" customHeight="1" thickTop="1" thickBot="1" x14ac:dyDescent="0.4">
      <c r="A5" s="11" t="s">
        <v>7</v>
      </c>
      <c r="B5" s="10">
        <f>$E$1/12</f>
        <v>1123.7966666666666</v>
      </c>
      <c r="C5" s="10">
        <f>B5</f>
        <v>1123.7966666666666</v>
      </c>
      <c r="D5" s="10">
        <f>IF($B$2&lt;0,$B$2/12,IF(IF($E$1&gt;100000,($B$2-($E$1-100000)*0.5)/12,$B$2/12)&lt;0,0,IF($E$1&gt;100000,($B$2-($E$1-100000)*0.5)/12,$B$2/12)))</f>
        <v>1047.5</v>
      </c>
      <c r="E5" s="23">
        <f>IF(C5-D5&gt;=0,C5-D5,0)</f>
        <v>76.296666666666624</v>
      </c>
      <c r="F5" s="10">
        <f>IF(E5&gt;125140/12,(E5-125140/12)*0.45+(125140/12-37700/12)*0.4+(37700/12)*0.2,IF(E5&gt;37700/12,(E5-37700/12)*0.4+37700/12*0.2,E5*0.2))</f>
        <v>15.259333333333325</v>
      </c>
      <c r="G5" s="10">
        <v>0</v>
      </c>
      <c r="H5" s="10">
        <f>F5-G5</f>
        <v>15.259333333333325</v>
      </c>
    </row>
    <row r="6" spans="1:8" ht="21" customHeight="1" thickTop="1" thickBot="1" x14ac:dyDescent="0.4">
      <c r="A6" s="11" t="s">
        <v>8</v>
      </c>
      <c r="B6" s="10">
        <f t="shared" ref="B6:B16" si="0">$E$1/12</f>
        <v>1123.7966666666666</v>
      </c>
      <c r="C6" s="10">
        <f>C5+B6</f>
        <v>2247.5933333333332</v>
      </c>
      <c r="D6" s="10">
        <f>IF($B$2&lt;0,$B$2/12*2,IF(IF($E$1&gt;100000,($B$2-($E$1-100000)*0.5)/12*2,$B$2/12*2)&lt;0,0,IF($E$1&gt;100000,($B$2-($E$1-100000)*0.5)/12*2,$B$2/12*2)))</f>
        <v>2095</v>
      </c>
      <c r="E6" s="23">
        <f t="shared" ref="E6:E16" si="1">IF(C6-D6&gt;=0,C6-D6,0)</f>
        <v>152.59333333333325</v>
      </c>
      <c r="F6" s="10">
        <f>IF(E6&gt;125140*2/12,(E6-125140*2/12)*0.45+(125140*2/12-37700*2/12)*0.4+(37700*2/12)*0.2,IF(E6&gt;37700*2/12,(E6-37700*2/12)*0.4+37700*2/12*0.2,E6*0.2))</f>
        <v>30.51866666666665</v>
      </c>
      <c r="G6" s="10">
        <f>F5</f>
        <v>15.259333333333325</v>
      </c>
      <c r="H6" s="10">
        <f t="shared" ref="H6:H16" si="2">F6-G6</f>
        <v>15.259333333333325</v>
      </c>
    </row>
    <row r="7" spans="1:8" ht="21" customHeight="1" thickTop="1" thickBot="1" x14ac:dyDescent="0.4">
      <c r="A7" s="11" t="s">
        <v>9</v>
      </c>
      <c r="B7" s="10">
        <f t="shared" si="0"/>
        <v>1123.7966666666666</v>
      </c>
      <c r="C7" s="10">
        <f t="shared" ref="C7:C16" si="3">C6+B7</f>
        <v>3371.39</v>
      </c>
      <c r="D7" s="10">
        <f>IF($B$2&lt;0,$B$2/12*3,IF(IF($E$1&gt;100000,($B$2-($E$1-100000)*0.5)/12*3,$B$2/12*3)&lt;0,0,IF($E$1&gt;100000,($B$2-($E$1-100000)*0.5)/12*3,$B$2/12*3)))</f>
        <v>3142.5</v>
      </c>
      <c r="E7" s="23">
        <f t="shared" si="1"/>
        <v>228.88999999999987</v>
      </c>
      <c r="F7" s="10">
        <f>IF(E7&gt;125140*3/12,(E7-125140*3/12)*0.45+(125140*3/12-37700*3/12)*0.4+(37700*3/12)*0.2,IF(E7&gt;37700*3/12,(E7-37700*3/12)*0.4+37700*3/12*0.2,E7*0.2))</f>
        <v>45.777999999999977</v>
      </c>
      <c r="G7" s="10">
        <f t="shared" ref="G7:G16" si="4">F6</f>
        <v>30.51866666666665</v>
      </c>
      <c r="H7" s="10">
        <f t="shared" si="2"/>
        <v>15.259333333333327</v>
      </c>
    </row>
    <row r="8" spans="1:8" ht="21" customHeight="1" thickTop="1" thickBot="1" x14ac:dyDescent="0.4">
      <c r="A8" s="11" t="s">
        <v>10</v>
      </c>
      <c r="B8" s="10">
        <f t="shared" si="0"/>
        <v>1123.7966666666666</v>
      </c>
      <c r="C8" s="10">
        <f t="shared" si="3"/>
        <v>4495.1866666666665</v>
      </c>
      <c r="D8" s="10">
        <f>IF($B$2&lt;0,$B$2/12*4,IF(IF($E$1&gt;100000,($B$2-($E$1-100000)*0.5)/12*4,$B$2/12*4)&lt;0,0,IF($E$1&gt;100000,($B$2-($E$1-100000)*0.5)/12*4,$B$2/12*4)))</f>
        <v>4190</v>
      </c>
      <c r="E8" s="23">
        <f t="shared" si="1"/>
        <v>305.1866666666665</v>
      </c>
      <c r="F8" s="10">
        <f>IF(E8&gt;125140*4/12,(E8-125140*4/12)*0.45+(125140*4/12-37700*4/12)*0.4+(37700*4/12)*0.2,IF(E8&gt;37700*4/12,(E8-37700*4/12)*0.4+37700*4/12*0.2,E8*0.2))</f>
        <v>61.037333333333301</v>
      </c>
      <c r="G8" s="10">
        <f t="shared" si="4"/>
        <v>45.777999999999977</v>
      </c>
      <c r="H8" s="10">
        <f t="shared" si="2"/>
        <v>15.259333333333323</v>
      </c>
    </row>
    <row r="9" spans="1:8" ht="21" customHeight="1" thickTop="1" thickBot="1" x14ac:dyDescent="0.4">
      <c r="A9" s="11" t="s">
        <v>11</v>
      </c>
      <c r="B9" s="10">
        <f t="shared" si="0"/>
        <v>1123.7966666666666</v>
      </c>
      <c r="C9" s="10">
        <f t="shared" si="3"/>
        <v>5618.9833333333336</v>
      </c>
      <c r="D9" s="10">
        <f>IF($B$2&lt;0,$B$2/12*5,IF(IF($E$1&gt;100000,($B$2-($E$1-100000)*0.5)/12*5,$B$2/12*5)&lt;0,0,IF($E$1&gt;100000,($B$2-($E$1-100000)*0.5)/12*5,$B$2/12*5)))</f>
        <v>5237.5</v>
      </c>
      <c r="E9" s="23">
        <f t="shared" si="1"/>
        <v>381.48333333333358</v>
      </c>
      <c r="F9" s="10">
        <f>IF(E9&gt;125140*5/12,(E9-125140*5/12)*0.45+(125140*5/12-37700*5/12)*0.4+(37700*5/12)*0.2,IF(E9&gt;37700*5/12,(E9-37700*5/12)*0.4+37700*5/12*0.2,E9*0.2))</f>
        <v>76.296666666666724</v>
      </c>
      <c r="G9" s="10">
        <f t="shared" si="4"/>
        <v>61.037333333333301</v>
      </c>
      <c r="H9" s="10">
        <f t="shared" si="2"/>
        <v>15.259333333333423</v>
      </c>
    </row>
    <row r="10" spans="1:8" ht="21" customHeight="1" thickTop="1" thickBot="1" x14ac:dyDescent="0.4">
      <c r="A10" s="11" t="s">
        <v>12</v>
      </c>
      <c r="B10" s="10">
        <f t="shared" si="0"/>
        <v>1123.7966666666666</v>
      </c>
      <c r="C10" s="10">
        <f t="shared" si="3"/>
        <v>6742.7800000000007</v>
      </c>
      <c r="D10" s="10">
        <f>IF($B$2&lt;0,$B$2/12*6,IF(IF($E$1&gt;100000,($B$2-($E$1-100000)*0.5)/12*6,$B$2/12*6)&lt;0,0,IF($E$1&gt;100000,($B$2-($E$1-100000)*0.5)/12*6,$B$2/12*6)))</f>
        <v>6285</v>
      </c>
      <c r="E10" s="23">
        <f t="shared" si="1"/>
        <v>457.78000000000065</v>
      </c>
      <c r="F10" s="10">
        <f>IF(E10&gt;125140*6/12,(E10-125140*6/12)*0.45+(125140*6/12-37700*6/12)*0.4+(37700*6/12)*0.2,IF(E10&gt;37700*6/12,(E10-37700*6/12)*0.4+37700*6/12*0.2,E10*0.2))</f>
        <v>91.556000000000139</v>
      </c>
      <c r="G10" s="10">
        <f t="shared" si="4"/>
        <v>76.296666666666724</v>
      </c>
      <c r="H10" s="10">
        <f t="shared" si="2"/>
        <v>15.259333333333416</v>
      </c>
    </row>
    <row r="11" spans="1:8" ht="21" customHeight="1" thickTop="1" thickBot="1" x14ac:dyDescent="0.4">
      <c r="A11" s="11" t="s">
        <v>13</v>
      </c>
      <c r="B11" s="10">
        <f t="shared" si="0"/>
        <v>1123.7966666666666</v>
      </c>
      <c r="C11" s="10">
        <f t="shared" si="3"/>
        <v>7866.5766666666677</v>
      </c>
      <c r="D11" s="10">
        <f>IF($B$2&lt;0,$B$2/12*7,IF(IF($E$1&gt;100000,($B$2-($E$1-100000)*0.5)/12*7,$B$2/12*7)&lt;0,0,IF($E$1&gt;100000,($B$2-($E$1-100000)*0.5)/12*7,$B$2/12*7)))</f>
        <v>7332.5</v>
      </c>
      <c r="E11" s="23">
        <f t="shared" si="1"/>
        <v>534.07666666666773</v>
      </c>
      <c r="F11" s="10">
        <f>IF(E11&gt;125140*7/12,(E11-125140*7/12)*0.45+(125140*7/12-37700*7/12)*0.4+(37700*7/12)*0.2,IF(E11&gt;37700*7/12,(E11-37700*7/12)*0.4+37700*7/12*0.2,E11*0.2))</f>
        <v>106.81533333333356</v>
      </c>
      <c r="G11" s="10">
        <f t="shared" si="4"/>
        <v>91.556000000000139</v>
      </c>
      <c r="H11" s="10">
        <f t="shared" si="2"/>
        <v>15.259333333333416</v>
      </c>
    </row>
    <row r="12" spans="1:8" ht="21" customHeight="1" thickTop="1" thickBot="1" x14ac:dyDescent="0.4">
      <c r="A12" s="11" t="s">
        <v>14</v>
      </c>
      <c r="B12" s="10">
        <f t="shared" si="0"/>
        <v>1123.7966666666666</v>
      </c>
      <c r="C12" s="10">
        <f t="shared" si="3"/>
        <v>8990.3733333333348</v>
      </c>
      <c r="D12" s="10">
        <f>IF($B$2&lt;0,$B$2/12*8,IF(IF($E$1&gt;100000,($B$2-($E$1-100000)*0.5)/12*8,$B$2/12*8)&lt;0,0,IF($E$1&gt;100000,($B$2-($E$1-100000)*0.5)/12*8,$B$2/12*8)))</f>
        <v>8380</v>
      </c>
      <c r="E12" s="23">
        <f t="shared" si="1"/>
        <v>610.37333333333481</v>
      </c>
      <c r="F12" s="10">
        <f>IF(E12&gt;125140*8/12,(E12-125140*8/12)*0.45+(125140*8/12-37700*8/12)*0.4+(37700*8/12)*0.2,IF(E12&gt;37700*8/12,(E12-37700*8/12)*0.4+37700*8/12*0.2,E12*0.2))</f>
        <v>122.07466666666697</v>
      </c>
      <c r="G12" s="10">
        <f t="shared" si="4"/>
        <v>106.81533333333356</v>
      </c>
      <c r="H12" s="10">
        <f t="shared" si="2"/>
        <v>15.259333333333416</v>
      </c>
    </row>
    <row r="13" spans="1:8" ht="21" customHeight="1" thickTop="1" thickBot="1" x14ac:dyDescent="0.4">
      <c r="A13" s="11" t="s">
        <v>15</v>
      </c>
      <c r="B13" s="10">
        <f t="shared" si="0"/>
        <v>1123.7966666666666</v>
      </c>
      <c r="C13" s="10">
        <f t="shared" si="3"/>
        <v>10114.170000000002</v>
      </c>
      <c r="D13" s="10">
        <f>IF($B$2&lt;0,$B$2/12*9,IF(IF($E$1&gt;100000,($B$2-($E$1-100000)*0.5)/12*9,$B$2/12*9)&lt;0,0,IF($E$1&gt;100000,($B$2-($E$1-100000)*0.5)/12*9,$B$2/12*9)))</f>
        <v>9427.5</v>
      </c>
      <c r="E13" s="23">
        <f t="shared" si="1"/>
        <v>686.67000000000189</v>
      </c>
      <c r="F13" s="10">
        <f>IF(E13&gt;125140*9/12,(E13-125140*9/12)*0.45+(125140*9/12-37700*9/12)*0.4+(37700*9/12)*0.2,IF(E13&gt;37700*9/12,(E13-37700*9/12)*0.4+37700*9/12*0.2,E13*0.2))</f>
        <v>137.33400000000037</v>
      </c>
      <c r="G13" s="10">
        <f t="shared" si="4"/>
        <v>122.07466666666697</v>
      </c>
      <c r="H13" s="10">
        <f t="shared" si="2"/>
        <v>15.259333333333402</v>
      </c>
    </row>
    <row r="14" spans="1:8" ht="21" customHeight="1" thickTop="1" thickBot="1" x14ac:dyDescent="0.4">
      <c r="A14" s="11" t="s">
        <v>16</v>
      </c>
      <c r="B14" s="10">
        <f t="shared" si="0"/>
        <v>1123.7966666666666</v>
      </c>
      <c r="C14" s="10">
        <f t="shared" si="3"/>
        <v>11237.966666666669</v>
      </c>
      <c r="D14" s="10">
        <f>IF($B$2&lt;0,$B$2/12*10,IF(IF($E$1&gt;100000,($B$2-($E$1-100000)*0.5)/12*10,$B$2/12*10)&lt;0,0,IF($E$1&gt;100000,($B$2-($E$1-100000)*0.5)/12*10,$B$2/12*10)))</f>
        <v>10475</v>
      </c>
      <c r="E14" s="23">
        <f t="shared" si="1"/>
        <v>762.96666666666897</v>
      </c>
      <c r="F14" s="10">
        <f>IF(E14&gt;125140*10/12,(E14-125140*10/12)*0.45+(125140*10/12-37700*10/12)*0.4+(37700*10/12)*0.2,IF(E14&gt;37700*10/12,(E14-37700*10/12)*0.4+37700*10/12*0.2,E14*0.2))</f>
        <v>152.59333333333379</v>
      </c>
      <c r="G14" s="10">
        <f t="shared" si="4"/>
        <v>137.33400000000037</v>
      </c>
      <c r="H14" s="10">
        <f t="shared" si="2"/>
        <v>15.259333333333416</v>
      </c>
    </row>
    <row r="15" spans="1:8" ht="21" customHeight="1" thickTop="1" thickBot="1" x14ac:dyDescent="0.4">
      <c r="A15" s="11" t="s">
        <v>17</v>
      </c>
      <c r="B15" s="10">
        <f t="shared" si="0"/>
        <v>1123.7966666666666</v>
      </c>
      <c r="C15" s="10">
        <f t="shared" si="3"/>
        <v>12361.763333333336</v>
      </c>
      <c r="D15" s="10">
        <f>IF($B$2&lt;0,$B$2/12*11,IF(IF($E$1&gt;100000,($B$2-($E$1-100000)*0.5)/12*11,$B$2/12*11)&lt;0,0,IF($E$1&gt;100000,($B$2-($E$1-100000)*0.5)/12*11,$B$2/12*11)))</f>
        <v>11522.5</v>
      </c>
      <c r="E15" s="23">
        <f t="shared" si="1"/>
        <v>839.26333333333605</v>
      </c>
      <c r="F15" s="10">
        <f>IF(E15&gt;125140*11/12,(E15-125140*11/12)*0.45+(125140*11/12-37700*11/12)*0.4+(37700*11/12)*0.2,IF(E15&gt;37700*11/12,(E15-37700*11/12)*0.4+37700*11/12*0.2,E15*0.2))</f>
        <v>167.85266666666723</v>
      </c>
      <c r="G15" s="10">
        <f t="shared" si="4"/>
        <v>152.59333333333379</v>
      </c>
      <c r="H15" s="10">
        <f t="shared" si="2"/>
        <v>15.259333333333444</v>
      </c>
    </row>
    <row r="16" spans="1:8" ht="21" customHeight="1" thickTop="1" thickBot="1" x14ac:dyDescent="0.4">
      <c r="A16" s="11" t="s">
        <v>18</v>
      </c>
      <c r="B16" s="10">
        <f t="shared" si="0"/>
        <v>1123.7966666666666</v>
      </c>
      <c r="C16" s="10">
        <f t="shared" si="3"/>
        <v>13485.560000000003</v>
      </c>
      <c r="D16" s="10">
        <f>IF($B$2&lt;0,$B$2/12*12,IF(IF($E$1&gt;100000,($B$2-($E$1-100000)*0.5)/12*12,$B$2/12*12)&lt;0,0,IF($E$1&gt;100000,($B$2-($E$1-100000)*0.5)/12*12,$B$2/12*12)))</f>
        <v>12570</v>
      </c>
      <c r="E16" s="23">
        <f t="shared" si="1"/>
        <v>915.56000000000313</v>
      </c>
      <c r="F16" s="26">
        <f>IF(E16&gt;125140,(E16-125140)*0.45+(125140-37700)*0.4+(37700)*0.2,IF(E16&gt;37700,(E16-37700)*0.4+37700*0.2,E16*0.2))</f>
        <v>183.11200000000065</v>
      </c>
      <c r="G16" s="10">
        <f t="shared" si="4"/>
        <v>167.85266666666723</v>
      </c>
      <c r="H16" s="10">
        <f t="shared" si="2"/>
        <v>15.259333333333416</v>
      </c>
    </row>
    <row r="17" spans="1:8" ht="15.5" customHeight="1" thickTop="1" thickBot="1" x14ac:dyDescent="0.4"/>
    <row r="18" spans="1:8" ht="21" customHeight="1" thickTop="1" thickBot="1" x14ac:dyDescent="0.4">
      <c r="A18" s="5" t="s">
        <v>21</v>
      </c>
      <c r="B18" s="5"/>
      <c r="C18" s="2"/>
      <c r="D18" s="5" t="s">
        <v>100</v>
      </c>
      <c r="E18" s="25">
        <f>H18*52</f>
        <v>55083.08</v>
      </c>
      <c r="F18" s="7" t="str">
        <f>IF((E18-B19)&gt;33700,"High Rate", "Base Rate")</f>
        <v>High Rate</v>
      </c>
      <c r="G18" s="5" t="s">
        <v>103</v>
      </c>
      <c r="H18" s="35">
        <v>1059.29</v>
      </c>
    </row>
    <row r="19" spans="1:8" ht="36" customHeight="1" thickTop="1" thickBot="1" x14ac:dyDescent="0.4">
      <c r="A19" s="5" t="s">
        <v>99</v>
      </c>
      <c r="B19" s="34">
        <v>-1250</v>
      </c>
      <c r="C19" s="4" t="s">
        <v>102</v>
      </c>
      <c r="D19" s="24">
        <f>B19/52</f>
        <v>-24.03846153846154</v>
      </c>
      <c r="E19" s="3" t="s">
        <v>101</v>
      </c>
      <c r="F19" s="5"/>
      <c r="G19" s="5" t="s">
        <v>24</v>
      </c>
      <c r="H19" s="9"/>
    </row>
    <row r="20" spans="1:8" ht="42" customHeight="1" thickTop="1" thickBot="1" x14ac:dyDescent="0.4">
      <c r="A20" s="21" t="s">
        <v>104</v>
      </c>
      <c r="B20" s="22" t="s">
        <v>184</v>
      </c>
      <c r="C20" s="22" t="s">
        <v>3</v>
      </c>
      <c r="D20" s="22" t="s">
        <v>20</v>
      </c>
      <c r="E20" s="22" t="s">
        <v>19</v>
      </c>
      <c r="F20" s="22" t="s">
        <v>4</v>
      </c>
      <c r="G20" s="1" t="s">
        <v>5</v>
      </c>
      <c r="H20" s="1" t="s">
        <v>105</v>
      </c>
    </row>
    <row r="21" spans="1:8" ht="46" customHeight="1" thickTop="1" thickBot="1" x14ac:dyDescent="0.4">
      <c r="A21" s="39"/>
      <c r="B21" s="40" t="s">
        <v>2</v>
      </c>
      <c r="C21" s="41" t="s">
        <v>25</v>
      </c>
      <c r="D21" s="41" t="s">
        <v>26</v>
      </c>
      <c r="E21" s="42" t="s">
        <v>27</v>
      </c>
      <c r="F21" s="43" t="s">
        <v>28</v>
      </c>
      <c r="G21" s="41" t="s">
        <v>29</v>
      </c>
      <c r="H21" s="42" t="s">
        <v>30</v>
      </c>
    </row>
    <row r="22" spans="1:8" ht="23" customHeight="1" thickTop="1" thickBot="1" x14ac:dyDescent="0.4">
      <c r="A22" s="11">
        <v>1</v>
      </c>
      <c r="B22" s="10">
        <f>$H$18</f>
        <v>1059.29</v>
      </c>
      <c r="C22" s="10">
        <f>B22</f>
        <v>1059.29</v>
      </c>
      <c r="D22" s="10">
        <f>IF($B$19/52&lt;0,$B$19/52,IF(IF($E$18&gt;100000,($B$19-($E$18-100000)*0.5)/52,$B$19/52)&lt;0,0,IF($E$18&gt;100000,($B$19-($E$18-100000)*0.5)/52,$B$19/52)))</f>
        <v>-24.03846153846154</v>
      </c>
      <c r="E22" s="23">
        <f>C22-D22</f>
        <v>1083.3284615384614</v>
      </c>
      <c r="F22" s="10">
        <f>IF(E22&gt;125140/52,(E22-125140/52)*0.45+(125140/52-37700/52)*0.4+(37700/52)*0.2,IF(E22&gt;37700/52,(E22-37700/52)*0.4+37700/52*0.2,E22*0.2))</f>
        <v>288.33138461538454</v>
      </c>
      <c r="G22" s="10"/>
      <c r="H22" s="10">
        <f>F22-G22</f>
        <v>288.33138461538454</v>
      </c>
    </row>
    <row r="23" spans="1:8" ht="23" customHeight="1" thickTop="1" thickBot="1" x14ac:dyDescent="0.4">
      <c r="A23" s="11">
        <v>2</v>
      </c>
      <c r="B23" s="10">
        <f t="shared" ref="B23:B34" si="5">$H$18</f>
        <v>1059.29</v>
      </c>
      <c r="C23" s="10">
        <f>C22+B23</f>
        <v>2118.58</v>
      </c>
      <c r="D23" s="10">
        <f>IF($B$19/52&lt;0,$B$19/52*2,IF(IF($E$18&gt;100000,($B$19-($E$18-100000)*0.5)/52*2,$B$19/52*2)&lt;0,0,IF($E$18&gt;100000,($B$19-($E$18-100000)*0.5)/52*2,$B$19/52*2)))</f>
        <v>-48.07692307692308</v>
      </c>
      <c r="E23" s="23">
        <f t="shared" ref="E23:E30" si="6">C23-D23</f>
        <v>2166.6569230769228</v>
      </c>
      <c r="F23" s="10">
        <f>IF(E23&gt;125140*2/52,(E23-125140*2/52)*0.45+(125140*2/52-37700*2/52)*0.4+(37700*2/52)*0.2,IF(E23&gt;37700*2/52,(E23-37700*2/52)*0.4+37700*2/52*0.2,E23*0.2))</f>
        <v>576.66276923076907</v>
      </c>
      <c r="G23" s="10">
        <f>F22</f>
        <v>288.33138461538454</v>
      </c>
      <c r="H23" s="10">
        <f t="shared" ref="H23:H30" si="7">F23-G23</f>
        <v>288.33138461538454</v>
      </c>
    </row>
    <row r="24" spans="1:8" ht="23" customHeight="1" thickTop="1" thickBot="1" x14ac:dyDescent="0.4">
      <c r="A24" s="11">
        <v>3</v>
      </c>
      <c r="B24" s="10">
        <f t="shared" si="5"/>
        <v>1059.29</v>
      </c>
      <c r="C24" s="10">
        <f t="shared" ref="C24" si="8">C23+B24</f>
        <v>3177.87</v>
      </c>
      <c r="D24" s="10">
        <f>IF($B$19/52&lt;0,$B$19/52*3,IF(IF($E$18&gt;100000,($B$19-($E$18-100000)*0.5)/52*3,$B$19/52*3)&lt;0,0,IF($E$18&gt;100000,($B$19-($E$18-100000)*0.5)/52*3,$B$19/52*3)))</f>
        <v>-72.115384615384613</v>
      </c>
      <c r="E24" s="23">
        <f t="shared" si="6"/>
        <v>3249.9853846153846</v>
      </c>
      <c r="F24" s="10">
        <f>IF(E24&gt;125140*3/52,(E24-125140*3/52)*0.45+(125140*3/52-37700*3/52)*0.4+(37700*3/52)*0.2,IF(E24&gt;37700*3/52,(E24-37700*3/52)*0.4+37700*3/52*0.2,E24*0.2))</f>
        <v>864.99415384615395</v>
      </c>
      <c r="G24" s="10">
        <f t="shared" ref="G24:G30" si="9">F23</f>
        <v>576.66276923076907</v>
      </c>
      <c r="H24" s="10">
        <f t="shared" si="7"/>
        <v>288.33138461538488</v>
      </c>
    </row>
    <row r="25" spans="1:8" ht="23" customHeight="1" thickTop="1" thickBot="1" x14ac:dyDescent="0.4">
      <c r="A25" s="11"/>
      <c r="B25" s="10"/>
      <c r="C25" s="10"/>
      <c r="D25" s="10"/>
      <c r="E25" s="23"/>
      <c r="F25" s="10"/>
      <c r="G25" s="10"/>
      <c r="H25" s="10"/>
    </row>
    <row r="26" spans="1:8" ht="23" customHeight="1" thickTop="1" thickBot="1" x14ac:dyDescent="0.4">
      <c r="A26" s="11"/>
      <c r="B26" s="10"/>
      <c r="C26" s="10"/>
      <c r="D26" s="10"/>
      <c r="E26" s="23"/>
      <c r="F26" s="10"/>
      <c r="G26" s="10"/>
      <c r="H26" s="10"/>
    </row>
    <row r="27" spans="1:8" ht="23" customHeight="1" thickTop="1" thickBot="1" x14ac:dyDescent="0.4">
      <c r="A27" s="11" t="s">
        <v>170</v>
      </c>
      <c r="B27" s="10"/>
      <c r="C27" s="10"/>
      <c r="D27" s="10"/>
      <c r="E27" s="23"/>
      <c r="F27" s="10"/>
      <c r="G27" s="10"/>
      <c r="H27" s="10"/>
    </row>
    <row r="28" spans="1:8" ht="23" customHeight="1" thickTop="1" thickBot="1" x14ac:dyDescent="0.4">
      <c r="A28" s="12">
        <v>5</v>
      </c>
      <c r="B28" s="10"/>
      <c r="C28" s="10"/>
      <c r="D28" s="10"/>
      <c r="E28" s="23"/>
      <c r="F28" s="10"/>
      <c r="G28" s="10"/>
      <c r="H28" s="10"/>
    </row>
    <row r="29" spans="1:8" ht="23" customHeight="1" thickTop="1" thickBot="1" x14ac:dyDescent="0.4">
      <c r="A29" s="11">
        <f>A28-1</f>
        <v>4</v>
      </c>
      <c r="B29" s="10">
        <f t="shared" si="5"/>
        <v>1059.29</v>
      </c>
      <c r="C29" s="10">
        <f>A29*B29</f>
        <v>4237.16</v>
      </c>
      <c r="D29" s="10">
        <f>IF($B$19/52&lt;0,$B$19/52*A29,IF(IF($E$18&gt;100000,($B$19-($E$18-100000)*0.5)/52*A29,$B$19/52*A29)&lt;0,0,IF($E$18&gt;100000,($B$19-($E$18-100000)*0.5)/52*A29,$B$19/52*A29)))</f>
        <v>-96.15384615384616</v>
      </c>
      <c r="E29" s="23">
        <f t="shared" si="6"/>
        <v>4333.3138461538456</v>
      </c>
      <c r="F29" s="10">
        <f>IF(E29&gt;125140*A29/52,(E29-125140*A29/52)*0.45+(125140*A29/52-37700*A29/52)*0.4+(37700*A29/52)*0.2,IF(E29&gt;37700*A29/52,(E29-37700*A29/52)*0.4+37700*A29/52*0.2,E29*0.2))</f>
        <v>1153.3255384615381</v>
      </c>
      <c r="G29" s="10"/>
      <c r="H29" s="10"/>
    </row>
    <row r="30" spans="1:8" ht="23" customHeight="1" thickTop="1" thickBot="1" x14ac:dyDescent="0.4">
      <c r="A30" s="11">
        <f>A28</f>
        <v>5</v>
      </c>
      <c r="B30" s="10">
        <f t="shared" si="5"/>
        <v>1059.29</v>
      </c>
      <c r="C30" s="10">
        <f>A30*B30</f>
        <v>5296.45</v>
      </c>
      <c r="D30" s="10">
        <f>IF($B$19/52&lt;0,$B$19/52*A30,IF(IF($E$18&gt;100000,($B$19-($E$18-100000)*0.5)/52*A30,$B$19/52*A30)&lt;0,0,IF($E$18&gt;100000,($B$19-($E$18-100000)*0.5)/52*A30,$B$19/52*A30)))</f>
        <v>-120.19230769230771</v>
      </c>
      <c r="E30" s="23">
        <f t="shared" si="6"/>
        <v>5416.6423076923074</v>
      </c>
      <c r="F30" s="10">
        <f>IF(E30&gt;125140*A30/52,(E30-125140*A30/52)*0.45+(125140*A30/52-37700*A30/52)*0.4+(37700*A30/52)*0.2,IF(E30&gt;37700*A30/52,(E30-37700*A30/52)*0.4+37700*A30/52*0.2,E30*0.2))</f>
        <v>1441.656923076923</v>
      </c>
      <c r="G30" s="10">
        <f t="shared" si="9"/>
        <v>1153.3255384615381</v>
      </c>
      <c r="H30" s="10">
        <f t="shared" si="7"/>
        <v>288.33138461538488</v>
      </c>
    </row>
    <row r="31" spans="1:8" ht="23" customHeight="1" thickTop="1" thickBot="1" x14ac:dyDescent="0.4">
      <c r="A31" s="11"/>
      <c r="B31" s="10"/>
      <c r="C31" s="10"/>
      <c r="D31" s="10"/>
      <c r="E31" s="23"/>
      <c r="F31" s="10"/>
      <c r="G31" s="10"/>
      <c r="H31" s="10"/>
    </row>
    <row r="32" spans="1:8" ht="23" customHeight="1" thickTop="1" thickBot="1" x14ac:dyDescent="0.4">
      <c r="A32" s="11"/>
      <c r="B32" s="10"/>
      <c r="C32" s="10"/>
      <c r="D32" s="10"/>
      <c r="E32" s="23"/>
      <c r="F32" s="10"/>
      <c r="G32" s="10"/>
      <c r="H32" s="10"/>
    </row>
    <row r="33" spans="1:8" ht="23" customHeight="1" thickTop="1" thickBot="1" x14ac:dyDescent="0.4">
      <c r="A33" s="11"/>
      <c r="B33" s="10"/>
      <c r="C33" s="10"/>
      <c r="D33" s="10"/>
      <c r="E33" s="23"/>
      <c r="F33" s="10"/>
      <c r="G33" s="10"/>
      <c r="H33" s="10"/>
    </row>
    <row r="34" spans="1:8" ht="23" customHeight="1" thickTop="1" thickBot="1" x14ac:dyDescent="0.4">
      <c r="A34" s="44">
        <v>52</v>
      </c>
      <c r="B34" s="10">
        <f t="shared" si="5"/>
        <v>1059.29</v>
      </c>
      <c r="C34" s="10">
        <f>B34*A34</f>
        <v>55083.08</v>
      </c>
      <c r="D34" s="10">
        <f>IF($B$19/52&lt;0,$B$19/52*52,IF(IF($E$18&gt;100000,($B$19-($E$18-100000)*0.5)/52*52,$B$19/52*52)&lt;0,0,IF($E$18&gt;100000,($B$19-($E$18-100000)*0.5)/52*52,$B$19/52*52)))</f>
        <v>-1250</v>
      </c>
      <c r="E34" s="23">
        <f t="shared" ref="E34" si="10">C34-D34</f>
        <v>56333.08</v>
      </c>
      <c r="F34" s="26">
        <f>IF(E34&gt;125140,(E34-125140)*0.45+(125140-37700)*0.4+(37700)*0.2,IF(E34&gt;37700,(E34-37700)*0.4+37700*0.2,E34*0.2))</f>
        <v>14993.232</v>
      </c>
      <c r="G34" s="10"/>
      <c r="H34" s="10">
        <f>F34/52</f>
        <v>288.33138461538459</v>
      </c>
    </row>
    <row r="35" spans="1:8" ht="36" customHeight="1" thickTop="1" x14ac:dyDescent="0.35"/>
  </sheetData>
  <conditionalFormatting sqref="D9 D12 D15">
    <cfRule type="cellIs" dxfId="132" priority="212" operator="equal">
      <formula>$H$2</formula>
    </cfRule>
  </conditionalFormatting>
  <conditionalFormatting sqref="H12:H16">
    <cfRule type="cellIs" dxfId="131" priority="245" operator="equal">
      <formula>#REF!</formula>
    </cfRule>
  </conditionalFormatting>
  <conditionalFormatting sqref="D10:D16 F5:F16">
    <cfRule type="cellIs" dxfId="130" priority="114" operator="equal">
      <formula>$A$17</formula>
    </cfRule>
  </conditionalFormatting>
  <conditionalFormatting sqref="D7:D16">
    <cfRule type="cellIs" dxfId="129" priority="113" operator="equal">
      <formula>$D$2</formula>
    </cfRule>
  </conditionalFormatting>
  <conditionalFormatting sqref="C6:C16">
    <cfRule type="cellIs" dxfId="128" priority="246" operator="equal">
      <formula>#REF!</formula>
    </cfRule>
  </conditionalFormatting>
  <conditionalFormatting sqref="C7 C12">
    <cfRule type="cellIs" dxfId="127" priority="247" operator="equal">
      <formula>#REF!</formula>
    </cfRule>
  </conditionalFormatting>
  <conditionalFormatting sqref="C8 C13">
    <cfRule type="cellIs" dxfId="126" priority="249" operator="equal">
      <formula>#REF!</formula>
    </cfRule>
  </conditionalFormatting>
  <conditionalFormatting sqref="D7:D16">
    <cfRule type="cellIs" dxfId="125" priority="254" operator="equal">
      <formula>#REF!</formula>
    </cfRule>
  </conditionalFormatting>
  <conditionalFormatting sqref="D7:D16">
    <cfRule type="cellIs" dxfId="124" priority="255" operator="equal">
      <formula>#REF!</formula>
    </cfRule>
  </conditionalFormatting>
  <conditionalFormatting sqref="D8 D11 D13:D15">
    <cfRule type="cellIs" dxfId="123" priority="256" operator="equal">
      <formula>#REF!</formula>
    </cfRule>
  </conditionalFormatting>
  <conditionalFormatting sqref="E5:E16">
    <cfRule type="cellIs" dxfId="122" priority="259" operator="equal">
      <formula>#REF!</formula>
    </cfRule>
    <cfRule type="cellIs" dxfId="121" priority="260" operator="equal">
      <formula>#REF!</formula>
    </cfRule>
  </conditionalFormatting>
  <conditionalFormatting sqref="F5:F16">
    <cfRule type="cellIs" dxfId="120" priority="261" operator="equal">
      <formula>#REF!</formula>
    </cfRule>
    <cfRule type="cellIs" dxfId="119" priority="262" operator="notEqual">
      <formula>#REF!</formula>
    </cfRule>
    <cfRule type="cellIs" dxfId="118" priority="263" operator="equal">
      <formula>#REF!</formula>
    </cfRule>
  </conditionalFormatting>
  <conditionalFormatting sqref="F5:F16">
    <cfRule type="cellIs" dxfId="117" priority="264" operator="equal">
      <formula>#REF!</formula>
    </cfRule>
  </conditionalFormatting>
  <conditionalFormatting sqref="G6:G16">
    <cfRule type="cellIs" dxfId="116" priority="267" operator="equal">
      <formula>#REF!</formula>
    </cfRule>
    <cfRule type="cellIs" dxfId="115" priority="268" operator="equal">
      <formula>#REF!</formula>
    </cfRule>
  </conditionalFormatting>
  <conditionalFormatting sqref="H5:H16">
    <cfRule type="cellIs" dxfId="114" priority="269" operator="equal">
      <formula>#REF!</formula>
    </cfRule>
    <cfRule type="cellIs" dxfId="113" priority="270" operator="equal">
      <formula>#REF!</formula>
    </cfRule>
  </conditionalFormatting>
  <conditionalFormatting sqref="H12:H16">
    <cfRule type="cellIs" dxfId="112" priority="271" operator="equal">
      <formula>#REF!</formula>
    </cfRule>
  </conditionalFormatting>
  <conditionalFormatting sqref="C9 C11:C16">
    <cfRule type="cellIs" dxfId="111" priority="272" operator="equal">
      <formula>#REF!</formula>
    </cfRule>
  </conditionalFormatting>
  <conditionalFormatting sqref="D9 D12 D15">
    <cfRule type="cellIs" dxfId="110" priority="274" operator="equal">
      <formula>#REF!</formula>
    </cfRule>
  </conditionalFormatting>
  <conditionalFormatting sqref="F13 F15">
    <cfRule type="cellIs" dxfId="109" priority="277" operator="equal">
      <formula>#REF!</formula>
    </cfRule>
  </conditionalFormatting>
  <conditionalFormatting sqref="G13 G15">
    <cfRule type="cellIs" dxfId="108" priority="279" operator="equal">
      <formula>#REF!</formula>
    </cfRule>
  </conditionalFormatting>
  <conditionalFormatting sqref="G12 G14 G16">
    <cfRule type="cellIs" dxfId="107" priority="281" operator="equal">
      <formula>#REF!</formula>
    </cfRule>
  </conditionalFormatting>
  <conditionalFormatting sqref="G13 G15">
    <cfRule type="cellIs" dxfId="106" priority="284" operator="equal">
      <formula>#REF!</formula>
    </cfRule>
  </conditionalFormatting>
  <conditionalFormatting sqref="G12 G14 G16">
    <cfRule type="cellIs" dxfId="105" priority="286" operator="equal">
      <formula>#REF!</formula>
    </cfRule>
  </conditionalFormatting>
  <conditionalFormatting sqref="G13">
    <cfRule type="cellIs" dxfId="104" priority="289" operator="equal">
      <formula>#REF!</formula>
    </cfRule>
  </conditionalFormatting>
  <conditionalFormatting sqref="G14">
    <cfRule type="cellIs" dxfId="103" priority="290" operator="equal">
      <formula>#REF!</formula>
    </cfRule>
  </conditionalFormatting>
  <conditionalFormatting sqref="G15">
    <cfRule type="cellIs" dxfId="102" priority="291" operator="equal">
      <formula>#REF!</formula>
    </cfRule>
  </conditionalFormatting>
  <conditionalFormatting sqref="G16">
    <cfRule type="cellIs" dxfId="101" priority="292" operator="equal">
      <formula>#REF!</formula>
    </cfRule>
  </conditionalFormatting>
  <conditionalFormatting sqref="H13 H15">
    <cfRule type="cellIs" dxfId="100" priority="293" operator="equal">
      <formula>#REF!</formula>
    </cfRule>
  </conditionalFormatting>
  <conditionalFormatting sqref="H12 H14 H16">
    <cfRule type="cellIs" dxfId="99" priority="295" operator="equal">
      <formula>#REF!</formula>
    </cfRule>
  </conditionalFormatting>
  <conditionalFormatting sqref="H13">
    <cfRule type="cellIs" dxfId="98" priority="298" operator="equal">
      <formula>#REF!</formula>
    </cfRule>
  </conditionalFormatting>
  <conditionalFormatting sqref="H14">
    <cfRule type="cellIs" dxfId="97" priority="299" operator="equal">
      <formula>#REF!</formula>
    </cfRule>
  </conditionalFormatting>
  <conditionalFormatting sqref="H15">
    <cfRule type="cellIs" dxfId="96" priority="300" operator="equal">
      <formula>#REF!</formula>
    </cfRule>
  </conditionalFormatting>
  <conditionalFormatting sqref="H16">
    <cfRule type="cellIs" dxfId="95" priority="301" operator="equal">
      <formula>#REF!</formula>
    </cfRule>
  </conditionalFormatting>
  <conditionalFormatting sqref="C10 C12 C14 C16">
    <cfRule type="cellIs" dxfId="94" priority="302" operator="equal">
      <formula>#REF!</formula>
    </cfRule>
  </conditionalFormatting>
  <conditionalFormatting sqref="C11:C16">
    <cfRule type="cellIs" dxfId="93" priority="306" operator="equal">
      <formula>#REF!</formula>
    </cfRule>
  </conditionalFormatting>
  <conditionalFormatting sqref="C12">
    <cfRule type="cellIs" dxfId="92" priority="307" operator="equal">
      <formula>#REF!</formula>
    </cfRule>
  </conditionalFormatting>
  <conditionalFormatting sqref="C13">
    <cfRule type="cellIs" dxfId="91" priority="308" operator="equal">
      <formula>#REF!</formula>
    </cfRule>
  </conditionalFormatting>
  <conditionalFormatting sqref="C14">
    <cfRule type="cellIs" dxfId="90" priority="309" operator="equal">
      <formula>#REF!</formula>
    </cfRule>
  </conditionalFormatting>
  <conditionalFormatting sqref="C15">
    <cfRule type="cellIs" dxfId="89" priority="310" operator="equal">
      <formula>#REF!</formula>
    </cfRule>
  </conditionalFormatting>
  <conditionalFormatting sqref="C16">
    <cfRule type="cellIs" dxfId="88" priority="311" operator="equal">
      <formula>#REF!</formula>
    </cfRule>
  </conditionalFormatting>
  <conditionalFormatting sqref="B7">
    <cfRule type="cellIs" dxfId="87" priority="312" operator="equal">
      <formula>#REF!</formula>
    </cfRule>
  </conditionalFormatting>
  <conditionalFormatting sqref="D10 D12 D14 D16">
    <cfRule type="cellIs" dxfId="86" priority="313" operator="equal">
      <formula>#REF!</formula>
    </cfRule>
  </conditionalFormatting>
  <conditionalFormatting sqref="D11 D13 D15">
    <cfRule type="cellIs" dxfId="85" priority="317" operator="equal">
      <formula>#REF!</formula>
    </cfRule>
  </conditionalFormatting>
  <conditionalFormatting sqref="D12">
    <cfRule type="cellIs" dxfId="84" priority="320" operator="equal">
      <formula>#REF!</formula>
    </cfRule>
    <cfRule type="cellIs" dxfId="83" priority="321" operator="equal">
      <formula>#REF!</formula>
    </cfRule>
  </conditionalFormatting>
  <conditionalFormatting sqref="D13">
    <cfRule type="cellIs" dxfId="82" priority="322" operator="equal">
      <formula>#REF!</formula>
    </cfRule>
    <cfRule type="cellIs" dxfId="81" priority="323" operator="equal">
      <formula>#REF!</formula>
    </cfRule>
  </conditionalFormatting>
  <conditionalFormatting sqref="D14">
    <cfRule type="cellIs" dxfId="80" priority="324" operator="equal">
      <formula>#REF!</formula>
    </cfRule>
    <cfRule type="cellIs" dxfId="79" priority="325" operator="equal">
      <formula>#REF!</formula>
    </cfRule>
  </conditionalFormatting>
  <conditionalFormatting sqref="D15">
    <cfRule type="cellIs" dxfId="78" priority="326" operator="equal">
      <formula>#REF!</formula>
    </cfRule>
    <cfRule type="cellIs" dxfId="77" priority="327" operator="equal">
      <formula>#REF!</formula>
    </cfRule>
  </conditionalFormatting>
  <conditionalFormatting sqref="D16">
    <cfRule type="cellIs" dxfId="76" priority="328" operator="equal">
      <formula>#REF!</formula>
    </cfRule>
    <cfRule type="cellIs" dxfId="75" priority="329" operator="equal">
      <formula>#REF!</formula>
    </cfRule>
  </conditionalFormatting>
  <conditionalFormatting sqref="F13 F15">
    <cfRule type="cellIs" dxfId="74" priority="330" operator="equal">
      <formula>#REF!</formula>
    </cfRule>
  </conditionalFormatting>
  <conditionalFormatting sqref="F5:F16">
    <cfRule type="cellIs" dxfId="73" priority="332" operator="equal">
      <formula>#REF!</formula>
    </cfRule>
  </conditionalFormatting>
  <conditionalFormatting sqref="F13">
    <cfRule type="cellIs" dxfId="72" priority="335" operator="equal">
      <formula>#REF!</formula>
    </cfRule>
  </conditionalFormatting>
  <conditionalFormatting sqref="F14">
    <cfRule type="cellIs" dxfId="71" priority="336" operator="equal">
      <formula>#REF!</formula>
    </cfRule>
  </conditionalFormatting>
  <conditionalFormatting sqref="F15">
    <cfRule type="cellIs" dxfId="70" priority="337" operator="equal">
      <formula>#REF!</formula>
    </cfRule>
  </conditionalFormatting>
  <conditionalFormatting sqref="F5:F16">
    <cfRule type="cellIs" dxfId="69" priority="338" operator="equal">
      <formula>#REF!</formula>
    </cfRule>
  </conditionalFormatting>
  <conditionalFormatting sqref="D10">
    <cfRule type="cellIs" dxfId="68" priority="339" operator="equal">
      <formula>#REF!</formula>
    </cfRule>
  </conditionalFormatting>
  <conditionalFormatting sqref="D11">
    <cfRule type="cellIs" dxfId="67" priority="340" operator="equal">
      <formula>#REF!</formula>
    </cfRule>
  </conditionalFormatting>
  <conditionalFormatting sqref="F5:F16">
    <cfRule type="cellIs" dxfId="66" priority="341" operator="equal">
      <formula>#REF!</formula>
    </cfRule>
  </conditionalFormatting>
  <conditionalFormatting sqref="H12:H16">
    <cfRule type="cellIs" dxfId="65" priority="342" operator="equal">
      <formula>#REF!</formula>
    </cfRule>
  </conditionalFormatting>
  <conditionalFormatting sqref="H29:H34">
    <cfRule type="cellIs" dxfId="64" priority="23" operator="equal">
      <formula>#REF!</formula>
    </cfRule>
  </conditionalFormatting>
  <conditionalFormatting sqref="D23:D34">
    <cfRule type="cellIs" dxfId="63" priority="20" operator="equal">
      <formula>$D$2</formula>
    </cfRule>
  </conditionalFormatting>
  <conditionalFormatting sqref="C23:C34">
    <cfRule type="cellIs" dxfId="62" priority="24" operator="equal">
      <formula>#REF!</formula>
    </cfRule>
  </conditionalFormatting>
  <conditionalFormatting sqref="C24 C29:C30">
    <cfRule type="cellIs" dxfId="61" priority="25" operator="equal">
      <formula>#REF!</formula>
    </cfRule>
  </conditionalFormatting>
  <conditionalFormatting sqref="C25 C30">
    <cfRule type="cellIs" dxfId="60" priority="26" operator="equal">
      <formula>#REF!</formula>
    </cfRule>
  </conditionalFormatting>
  <conditionalFormatting sqref="D23:D34">
    <cfRule type="cellIs" dxfId="59" priority="27" operator="equal">
      <formula>#REF!</formula>
    </cfRule>
  </conditionalFormatting>
  <conditionalFormatting sqref="E22:E34">
    <cfRule type="cellIs" dxfId="58" priority="30" operator="equal">
      <formula>#REF!</formula>
    </cfRule>
    <cfRule type="cellIs" dxfId="57" priority="31" operator="equal">
      <formula>#REF!</formula>
    </cfRule>
  </conditionalFormatting>
  <conditionalFormatting sqref="G23:G34">
    <cfRule type="cellIs" dxfId="56" priority="36" operator="equal">
      <formula>#REF!</formula>
    </cfRule>
    <cfRule type="cellIs" dxfId="55" priority="37" operator="equal">
      <formula>#REF!</formula>
    </cfRule>
  </conditionalFormatting>
  <conditionalFormatting sqref="H22:H34">
    <cfRule type="cellIs" dxfId="54" priority="38" operator="equal">
      <formula>#REF!</formula>
    </cfRule>
    <cfRule type="cellIs" dxfId="53" priority="39" operator="equal">
      <formula>#REF!</formula>
    </cfRule>
  </conditionalFormatting>
  <conditionalFormatting sqref="H29:H34">
    <cfRule type="cellIs" dxfId="52" priority="40" operator="equal">
      <formula>#REF!</formula>
    </cfRule>
  </conditionalFormatting>
  <conditionalFormatting sqref="C26 C28:C34">
    <cfRule type="cellIs" dxfId="51" priority="41" operator="equal">
      <formula>#REF!</formula>
    </cfRule>
  </conditionalFormatting>
  <conditionalFormatting sqref="G30 G32">
    <cfRule type="cellIs" dxfId="50" priority="44" operator="equal">
      <formula>#REF!</formula>
    </cfRule>
  </conditionalFormatting>
  <conditionalFormatting sqref="G29 G31 G33:G34">
    <cfRule type="cellIs" dxfId="49" priority="45" operator="equal">
      <formula>#REF!</formula>
    </cfRule>
  </conditionalFormatting>
  <conditionalFormatting sqref="G30 G32">
    <cfRule type="cellIs" dxfId="48" priority="46" operator="equal">
      <formula>#REF!</formula>
    </cfRule>
  </conditionalFormatting>
  <conditionalFormatting sqref="G29 G31 G33:G34">
    <cfRule type="cellIs" dxfId="47" priority="47" operator="equal">
      <formula>#REF!</formula>
    </cfRule>
  </conditionalFormatting>
  <conditionalFormatting sqref="G30">
    <cfRule type="cellIs" dxfId="46" priority="48" operator="equal">
      <formula>#REF!</formula>
    </cfRule>
  </conditionalFormatting>
  <conditionalFormatting sqref="G31">
    <cfRule type="cellIs" dxfId="45" priority="49" operator="equal">
      <formula>#REF!</formula>
    </cfRule>
  </conditionalFormatting>
  <conditionalFormatting sqref="G32">
    <cfRule type="cellIs" dxfId="44" priority="50" operator="equal">
      <formula>#REF!</formula>
    </cfRule>
  </conditionalFormatting>
  <conditionalFormatting sqref="G33:G34">
    <cfRule type="cellIs" dxfId="43" priority="51" operator="equal">
      <formula>#REF!</formula>
    </cfRule>
  </conditionalFormatting>
  <conditionalFormatting sqref="H30 H32">
    <cfRule type="cellIs" dxfId="42" priority="52" operator="equal">
      <formula>#REF!</formula>
    </cfRule>
  </conditionalFormatting>
  <conditionalFormatting sqref="H29 H31 H33:H34">
    <cfRule type="cellIs" dxfId="41" priority="53" operator="equal">
      <formula>#REF!</formula>
    </cfRule>
  </conditionalFormatting>
  <conditionalFormatting sqref="H30">
    <cfRule type="cellIs" dxfId="40" priority="54" operator="equal">
      <formula>#REF!</formula>
    </cfRule>
  </conditionalFormatting>
  <conditionalFormatting sqref="H31">
    <cfRule type="cellIs" dxfId="39" priority="55" operator="equal">
      <formula>#REF!</formula>
    </cfRule>
  </conditionalFormatting>
  <conditionalFormatting sqref="H32">
    <cfRule type="cellIs" dxfId="38" priority="56" operator="equal">
      <formula>#REF!</formula>
    </cfRule>
  </conditionalFormatting>
  <conditionalFormatting sqref="H33:H34">
    <cfRule type="cellIs" dxfId="37" priority="57" operator="equal">
      <formula>#REF!</formula>
    </cfRule>
  </conditionalFormatting>
  <conditionalFormatting sqref="C27 C33:C34 C29:C31">
    <cfRule type="cellIs" dxfId="36" priority="58" operator="equal">
      <formula>#REF!</formula>
    </cfRule>
  </conditionalFormatting>
  <conditionalFormatting sqref="C28:C34">
    <cfRule type="cellIs" dxfId="35" priority="59" operator="equal">
      <formula>#REF!</formula>
    </cfRule>
  </conditionalFormatting>
  <conditionalFormatting sqref="C29:C30">
    <cfRule type="cellIs" dxfId="34" priority="60" operator="equal">
      <formula>#REF!</formula>
    </cfRule>
  </conditionalFormatting>
  <conditionalFormatting sqref="C30">
    <cfRule type="cellIs" dxfId="33" priority="61" operator="equal">
      <formula>#REF!</formula>
    </cfRule>
  </conditionalFormatting>
  <conditionalFormatting sqref="C31">
    <cfRule type="cellIs" dxfId="32" priority="62" operator="equal">
      <formula>#REF!</formula>
    </cfRule>
  </conditionalFormatting>
  <conditionalFormatting sqref="C32">
    <cfRule type="cellIs" dxfId="31" priority="63" operator="equal">
      <formula>#REF!</formula>
    </cfRule>
  </conditionalFormatting>
  <conditionalFormatting sqref="C33:C34">
    <cfRule type="cellIs" dxfId="30" priority="64" operator="equal">
      <formula>#REF!</formula>
    </cfRule>
  </conditionalFormatting>
  <conditionalFormatting sqref="H29:H34">
    <cfRule type="cellIs" dxfId="29" priority="87" operator="equal">
      <formula>#REF!</formula>
    </cfRule>
  </conditionalFormatting>
  <conditionalFormatting sqref="F34">
    <cfRule type="cellIs" dxfId="28" priority="12" operator="equal">
      <formula>$A$17</formula>
    </cfRule>
  </conditionalFormatting>
  <conditionalFormatting sqref="F34">
    <cfRule type="cellIs" dxfId="27" priority="13" operator="equal">
      <formula>#REF!</formula>
    </cfRule>
    <cfRule type="cellIs" dxfId="26" priority="14" operator="notEqual">
      <formula>#REF!</formula>
    </cfRule>
    <cfRule type="cellIs" dxfId="25" priority="15" operator="equal">
      <formula>#REF!</formula>
    </cfRule>
  </conditionalFormatting>
  <conditionalFormatting sqref="F34">
    <cfRule type="cellIs" dxfId="24" priority="16" operator="equal">
      <formula>#REF!</formula>
    </cfRule>
  </conditionalFormatting>
  <conditionalFormatting sqref="F34">
    <cfRule type="cellIs" dxfId="23" priority="17" operator="equal">
      <formula>#REF!</formula>
    </cfRule>
  </conditionalFormatting>
  <conditionalFormatting sqref="F34">
    <cfRule type="cellIs" dxfId="22" priority="18" operator="equal">
      <formula>#REF!</formula>
    </cfRule>
  </conditionalFormatting>
  <conditionalFormatting sqref="F34">
    <cfRule type="cellIs" dxfId="21" priority="19" operator="equal">
      <formula>#REF!</formula>
    </cfRule>
  </conditionalFormatting>
  <conditionalFormatting sqref="F22:F33">
    <cfRule type="cellIs" dxfId="20" priority="1" operator="equal">
      <formula>$A$17</formula>
    </cfRule>
  </conditionalFormatting>
  <conditionalFormatting sqref="F22:F33">
    <cfRule type="cellIs" dxfId="19" priority="2" operator="equal">
      <formula>#REF!</formula>
    </cfRule>
    <cfRule type="cellIs" dxfId="18" priority="3" operator="notEqual">
      <formula>#REF!</formula>
    </cfRule>
    <cfRule type="cellIs" dxfId="17" priority="4" operator="equal">
      <formula>#REF!</formula>
    </cfRule>
  </conditionalFormatting>
  <conditionalFormatting sqref="F22:F33">
    <cfRule type="cellIs" dxfId="16" priority="5" operator="equal">
      <formula>#REF!</formula>
    </cfRule>
  </conditionalFormatting>
  <conditionalFormatting sqref="F22:F33">
    <cfRule type="cellIs" dxfId="15" priority="6" operator="equal">
      <formula>#REF!</formula>
    </cfRule>
  </conditionalFormatting>
  <conditionalFormatting sqref="F22:F33">
    <cfRule type="cellIs" dxfId="14" priority="7" operator="equal">
      <formula>#REF!</formula>
    </cfRule>
  </conditionalFormatting>
  <conditionalFormatting sqref="F22:F33">
    <cfRule type="cellIs" dxfId="13" priority="8" operator="equal">
      <formula>#REF!</formula>
    </cfRule>
  </conditionalFormatting>
  <conditionalFormatting sqref="F22:F33">
    <cfRule type="cellIs" dxfId="12" priority="9" operator="equal">
      <formula>#REF!</formula>
    </cfRule>
  </conditionalFormatting>
  <conditionalFormatting sqref="F22:F33">
    <cfRule type="cellIs" dxfId="11" priority="10" operator="equal">
      <formula>#REF!</formula>
    </cfRule>
  </conditionalFormatting>
  <conditionalFormatting sqref="F22:F33">
    <cfRule type="cellIs" dxfId="10" priority="11" operator="equal">
      <formula>#REF!</formula>
    </cfRule>
  </conditionalFormatting>
  <pageMargins left="0.25" right="0.25" top="0.75" bottom="0.75" header="0.3" footer="0.3"/>
  <pageSetup paperSize="9" scale="86" orientation="landscape" r:id="rId1"/>
  <headerFooter>
    <oddFooter>&amp;C_x000D_&amp;1#&amp;"Calibri"&amp;10&amp;K000000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E1D30-7AE1-428A-8BB5-0A0E6F2FA0D5}">
  <sheetPr codeName="Sheet2"/>
  <dimension ref="A1:X46"/>
  <sheetViews>
    <sheetView tabSelected="1" workbookViewId="0">
      <selection activeCell="N20" sqref="N20"/>
    </sheetView>
  </sheetViews>
  <sheetFormatPr defaultRowHeight="14.5" x14ac:dyDescent="0.35"/>
  <cols>
    <col min="1" max="1" width="10.08984375" customWidth="1"/>
    <col min="2" max="2" width="10" customWidth="1"/>
    <col min="3" max="3" width="15.08984375" customWidth="1"/>
    <col min="4" max="4" width="11.453125" customWidth="1"/>
    <col min="5" max="5" width="11.08984375" customWidth="1"/>
    <col min="6" max="6" width="13.1796875" customWidth="1"/>
    <col min="7" max="7" width="13.08984375" customWidth="1"/>
    <col min="8" max="8" width="12.90625" customWidth="1"/>
    <col min="9" max="9" width="10.453125" bestFit="1" customWidth="1"/>
    <col min="10" max="10" width="11.54296875" customWidth="1"/>
    <col min="11" max="11" width="12" customWidth="1"/>
    <col min="12" max="12" width="10.90625" customWidth="1"/>
    <col min="13" max="13" width="10.6328125" customWidth="1"/>
    <col min="14" max="14" width="11" customWidth="1"/>
    <col min="15" max="15" width="12.6328125" customWidth="1"/>
    <col min="17" max="17" width="12.7265625" customWidth="1"/>
    <col min="19" max="19" width="11" customWidth="1"/>
  </cols>
  <sheetData>
    <row r="1" spans="1:24" x14ac:dyDescent="0.35">
      <c r="A1" s="56" t="s">
        <v>31</v>
      </c>
      <c r="B1" s="56" t="s">
        <v>88</v>
      </c>
      <c r="C1" s="56" t="s">
        <v>32</v>
      </c>
      <c r="D1" s="56" t="s">
        <v>33</v>
      </c>
      <c r="F1" s="56" t="s">
        <v>106</v>
      </c>
      <c r="G1" s="56" t="s">
        <v>165</v>
      </c>
      <c r="H1" s="56" t="s">
        <v>33</v>
      </c>
      <c r="J1" s="56" t="s">
        <v>94</v>
      </c>
      <c r="N1" s="19" t="s">
        <v>62</v>
      </c>
      <c r="O1" t="s">
        <v>88</v>
      </c>
      <c r="P1" t="s">
        <v>106</v>
      </c>
      <c r="Q1" t="s">
        <v>32</v>
      </c>
      <c r="R1" t="s">
        <v>33</v>
      </c>
      <c r="S1" s="19" t="s">
        <v>90</v>
      </c>
      <c r="T1" t="s">
        <v>31</v>
      </c>
      <c r="U1" t="s">
        <v>88</v>
      </c>
      <c r="V1" t="s">
        <v>32</v>
      </c>
      <c r="W1" t="s">
        <v>33</v>
      </c>
    </row>
    <row r="2" spans="1:24" x14ac:dyDescent="0.35">
      <c r="A2" s="60">
        <v>37700</v>
      </c>
      <c r="B2" s="48">
        <v>37700</v>
      </c>
      <c r="C2" s="48">
        <v>0.2</v>
      </c>
      <c r="D2" s="48">
        <f>A2*C2</f>
        <v>7540</v>
      </c>
      <c r="F2" s="60">
        <f>(33700+12570)</f>
        <v>46270</v>
      </c>
      <c r="G2" s="48">
        <v>12</v>
      </c>
      <c r="H2" s="48">
        <f>F2*G2</f>
        <v>555240</v>
      </c>
      <c r="J2" s="60">
        <v>2910.28</v>
      </c>
      <c r="K2" s="48" t="s">
        <v>95</v>
      </c>
      <c r="L2" s="48">
        <f>J2*0.2</f>
        <v>582.05600000000004</v>
      </c>
      <c r="N2" s="19" t="s">
        <v>148</v>
      </c>
      <c r="O2" s="17" t="s">
        <v>132</v>
      </c>
      <c r="P2">
        <v>2306</v>
      </c>
      <c r="Q2">
        <v>0.19</v>
      </c>
      <c r="R2">
        <f t="shared" ref="R2:R7" si="0">P2*Q2</f>
        <v>438.14</v>
      </c>
      <c r="S2" s="19" t="s">
        <v>148</v>
      </c>
      <c r="T2">
        <f>14876-12570</f>
        <v>2306</v>
      </c>
      <c r="U2">
        <v>37700</v>
      </c>
      <c r="V2">
        <v>0.2</v>
      </c>
      <c r="W2">
        <f>T2*V2</f>
        <v>461.20000000000005</v>
      </c>
    </row>
    <row r="3" spans="1:24" x14ac:dyDescent="0.35">
      <c r="A3" s="60">
        <v>32292</v>
      </c>
      <c r="B3" s="48">
        <v>125140</v>
      </c>
      <c r="C3" s="48">
        <v>0.4</v>
      </c>
      <c r="D3" s="48">
        <f>A3*C3</f>
        <v>12916.800000000001</v>
      </c>
      <c r="F3" s="60">
        <v>170.52</v>
      </c>
      <c r="G3" s="48">
        <v>0.2</v>
      </c>
      <c r="H3" s="48">
        <f>F3*G3</f>
        <v>34.104000000000006</v>
      </c>
      <c r="J3" s="60">
        <v>1</v>
      </c>
      <c r="K3" s="63" t="s">
        <v>96</v>
      </c>
      <c r="L3" s="48">
        <f>J3/0.2</f>
        <v>5</v>
      </c>
      <c r="N3" t="s">
        <v>43</v>
      </c>
      <c r="O3" s="17" t="s">
        <v>147</v>
      </c>
      <c r="P3">
        <f>13991-2306</f>
        <v>11685</v>
      </c>
      <c r="Q3">
        <v>0.2</v>
      </c>
      <c r="R3">
        <f t="shared" si="0"/>
        <v>2337</v>
      </c>
      <c r="S3" t="s">
        <v>43</v>
      </c>
      <c r="T3">
        <f>3815-14876</f>
        <v>-11061</v>
      </c>
      <c r="U3">
        <v>125140</v>
      </c>
      <c r="V3">
        <v>0.4</v>
      </c>
      <c r="W3">
        <f>T3*V3</f>
        <v>-4424.4000000000005</v>
      </c>
    </row>
    <row r="4" spans="1:24" x14ac:dyDescent="0.35">
      <c r="A4" s="60">
        <v>10</v>
      </c>
      <c r="B4" s="48" t="s">
        <v>89</v>
      </c>
      <c r="C4" s="48">
        <v>0.45</v>
      </c>
      <c r="D4" s="48">
        <f>C4*A4</f>
        <v>4.5</v>
      </c>
      <c r="F4" s="60">
        <f>901*12</f>
        <v>10812</v>
      </c>
      <c r="G4" s="48">
        <v>12</v>
      </c>
      <c r="H4" s="48">
        <f>F4*G4</f>
        <v>129744</v>
      </c>
      <c r="J4" s="60">
        <v>1</v>
      </c>
      <c r="K4" s="48" t="s">
        <v>97</v>
      </c>
      <c r="L4" s="48">
        <f>J4*0.4</f>
        <v>0.4</v>
      </c>
      <c r="N4" t="s">
        <v>151</v>
      </c>
      <c r="O4" s="17" t="s">
        <v>149</v>
      </c>
      <c r="P4">
        <f>31092-13991</f>
        <v>17101</v>
      </c>
      <c r="Q4">
        <v>0.21</v>
      </c>
      <c r="R4">
        <f t="shared" si="0"/>
        <v>3591.21</v>
      </c>
      <c r="S4" t="s">
        <v>152</v>
      </c>
      <c r="T4">
        <f>43662-26562</f>
        <v>17100</v>
      </c>
      <c r="U4" t="s">
        <v>89</v>
      </c>
      <c r="V4">
        <v>0.45</v>
      </c>
      <c r="W4">
        <f>V4*T4</f>
        <v>7695</v>
      </c>
    </row>
    <row r="5" spans="1:24" x14ac:dyDescent="0.35">
      <c r="F5" s="48"/>
      <c r="G5" s="56" t="s">
        <v>166</v>
      </c>
      <c r="H5" s="48"/>
      <c r="J5" s="60">
        <v>1</v>
      </c>
      <c r="K5" s="48" t="s">
        <v>98</v>
      </c>
      <c r="L5" s="48">
        <f>J5*0.45</f>
        <v>0.45</v>
      </c>
      <c r="O5" s="17" t="s">
        <v>133</v>
      </c>
      <c r="P5">
        <f>62430-31093</f>
        <v>31337</v>
      </c>
      <c r="Q5">
        <v>0.42</v>
      </c>
      <c r="R5">
        <f t="shared" si="0"/>
        <v>13161.539999999999</v>
      </c>
    </row>
    <row r="6" spans="1:24" x14ac:dyDescent="0.35">
      <c r="A6" s="56" t="s">
        <v>93</v>
      </c>
      <c r="B6" s="56" t="s">
        <v>34</v>
      </c>
      <c r="C6" s="56" t="s">
        <v>92</v>
      </c>
      <c r="D6" s="56" t="s">
        <v>32</v>
      </c>
      <c r="E6" s="47" t="s">
        <v>91</v>
      </c>
      <c r="F6" s="62">
        <v>4684.2</v>
      </c>
      <c r="G6" s="48">
        <v>12</v>
      </c>
      <c r="H6" s="48">
        <f>F6/G6</f>
        <v>390.34999999999997</v>
      </c>
      <c r="O6" s="17" t="s">
        <v>150</v>
      </c>
      <c r="P6">
        <f>125140-62431</f>
        <v>62709</v>
      </c>
      <c r="Q6">
        <v>0.45</v>
      </c>
      <c r="R6">
        <f t="shared" si="0"/>
        <v>28219.05</v>
      </c>
    </row>
    <row r="7" spans="1:24" x14ac:dyDescent="0.35">
      <c r="A7" s="60">
        <v>5411.13</v>
      </c>
      <c r="B7" s="60">
        <v>12690</v>
      </c>
      <c r="C7" s="48">
        <f>B7/12</f>
        <v>1057.5</v>
      </c>
      <c r="D7" s="48">
        <v>0.2</v>
      </c>
      <c r="E7" s="47">
        <f>(A7-C7)*0.2</f>
        <v>870.72600000000011</v>
      </c>
      <c r="F7" s="62">
        <v>1874.4</v>
      </c>
      <c r="G7" s="48">
        <v>12</v>
      </c>
      <c r="H7" s="48">
        <f>F7/G7</f>
        <v>156.20000000000002</v>
      </c>
      <c r="O7" t="s">
        <v>138</v>
      </c>
      <c r="Q7">
        <v>0.48</v>
      </c>
      <c r="R7">
        <f t="shared" si="0"/>
        <v>0</v>
      </c>
    </row>
    <row r="8" spans="1:24" x14ac:dyDescent="0.35">
      <c r="F8" s="62">
        <v>1874.4</v>
      </c>
      <c r="G8" s="48">
        <v>12</v>
      </c>
      <c r="H8" s="48">
        <f>F8/G8</f>
        <v>156.20000000000002</v>
      </c>
    </row>
    <row r="9" spans="1:24" x14ac:dyDescent="0.35">
      <c r="A9" s="56" t="s">
        <v>180</v>
      </c>
      <c r="B9" s="56" t="s">
        <v>34</v>
      </c>
      <c r="C9" s="56" t="s">
        <v>181</v>
      </c>
      <c r="D9" s="56" t="s">
        <v>91</v>
      </c>
      <c r="F9" s="48"/>
      <c r="G9" s="56" t="s">
        <v>171</v>
      </c>
      <c r="H9" s="48"/>
      <c r="N9" s="19" t="s">
        <v>176</v>
      </c>
      <c r="O9" s="30" t="s">
        <v>134</v>
      </c>
      <c r="Q9">
        <v>0.19</v>
      </c>
      <c r="X9" s="30"/>
    </row>
    <row r="10" spans="1:24" x14ac:dyDescent="0.35">
      <c r="A10" s="60">
        <v>29100.28</v>
      </c>
      <c r="B10" s="60">
        <v>12579.12</v>
      </c>
      <c r="C10" s="61">
        <f>IF(A10-B10&lt;0,0,A10-B10)</f>
        <v>16521.159999999996</v>
      </c>
      <c r="D10" s="48">
        <f>IF(C10&gt;125140,(C10-125140)*0.45+(125140-37700)*0.4+(37700)*0.2,IF(C10&gt;37700,(C10-37700)*0.4+37700*0.2,C10*0.2))</f>
        <v>3304.2319999999995</v>
      </c>
      <c r="F10" s="62">
        <v>12570</v>
      </c>
      <c r="G10" s="48">
        <v>9786</v>
      </c>
      <c r="H10" s="48">
        <f>F10-G10</f>
        <v>2784</v>
      </c>
      <c r="J10" s="56" t="s">
        <v>167</v>
      </c>
      <c r="O10" s="17" t="s">
        <v>135</v>
      </c>
      <c r="Q10">
        <v>0.2</v>
      </c>
      <c r="X10" s="17"/>
    </row>
    <row r="11" spans="1:24" x14ac:dyDescent="0.35">
      <c r="A11" s="60">
        <v>2910.28</v>
      </c>
      <c r="B11" s="60">
        <v>12579.12</v>
      </c>
      <c r="C11" s="61">
        <f>IF(A11-B11&lt;0,0,A11-B11)</f>
        <v>0</v>
      </c>
      <c r="D11" s="48">
        <f>IF(C11&gt;125140,(C11-125140)*0.45+(125140-37700)*0.4+(37700)*0.2,IF(C11&gt;37700,(C11-37700)*0.4+37700*0.2,C11*0.2))</f>
        <v>0</v>
      </c>
      <c r="F11" s="62">
        <v>8400</v>
      </c>
      <c r="G11" s="48">
        <v>9162</v>
      </c>
      <c r="H11" s="48">
        <f>F11-G11</f>
        <v>-762</v>
      </c>
      <c r="J11" s="48" t="s">
        <v>168</v>
      </c>
      <c r="K11" s="48" t="s">
        <v>172</v>
      </c>
      <c r="L11" s="48" t="s">
        <v>182</v>
      </c>
      <c r="O11" s="17" t="s">
        <v>136</v>
      </c>
      <c r="Q11">
        <v>0.21</v>
      </c>
      <c r="X11" s="17"/>
    </row>
    <row r="12" spans="1:24" x14ac:dyDescent="0.35">
      <c r="F12" s="48"/>
      <c r="G12" s="56" t="s">
        <v>169</v>
      </c>
      <c r="H12" s="48"/>
      <c r="J12" s="54">
        <v>45388</v>
      </c>
      <c r="K12" s="64">
        <v>45595</v>
      </c>
      <c r="L12" s="48">
        <f>K12-J12</f>
        <v>207</v>
      </c>
      <c r="O12" s="17" t="s">
        <v>137</v>
      </c>
      <c r="Q12">
        <v>0.42</v>
      </c>
      <c r="X12" s="17"/>
    </row>
    <row r="13" spans="1:24" x14ac:dyDescent="0.35">
      <c r="A13" s="56" t="s">
        <v>34</v>
      </c>
      <c r="B13" s="56" t="s">
        <v>35</v>
      </c>
      <c r="C13" s="56" t="s">
        <v>36</v>
      </c>
      <c r="F13" s="62">
        <v>16333.32</v>
      </c>
      <c r="G13" s="48">
        <v>34192.559999999998</v>
      </c>
      <c r="H13" s="48">
        <f>SUM(F13:G13)</f>
        <v>50525.88</v>
      </c>
      <c r="J13" s="64">
        <v>45595</v>
      </c>
      <c r="K13" s="54">
        <v>45752</v>
      </c>
      <c r="L13" s="48">
        <f>K13-J13</f>
        <v>157</v>
      </c>
      <c r="O13" t="s">
        <v>138</v>
      </c>
      <c r="Q13">
        <v>0.47</v>
      </c>
    </row>
    <row r="14" spans="1:24" x14ac:dyDescent="0.35">
      <c r="A14" s="60">
        <v>12630</v>
      </c>
      <c r="B14" s="60">
        <v>2822</v>
      </c>
      <c r="C14" s="48">
        <f>A14-B14</f>
        <v>9808</v>
      </c>
      <c r="F14" s="62">
        <v>2825.19</v>
      </c>
      <c r="G14" s="48">
        <v>5575.73</v>
      </c>
      <c r="H14" s="48">
        <f>SUM(F14:G14)</f>
        <v>8400.92</v>
      </c>
      <c r="J14" s="64">
        <v>45596</v>
      </c>
      <c r="K14" s="54">
        <v>45610</v>
      </c>
      <c r="L14" s="48">
        <f>K14-J14</f>
        <v>14</v>
      </c>
    </row>
    <row r="16" spans="1:24" x14ac:dyDescent="0.35">
      <c r="A16" s="48"/>
      <c r="B16" s="48"/>
      <c r="C16" s="48" t="s">
        <v>78</v>
      </c>
      <c r="D16" s="49" t="s">
        <v>79</v>
      </c>
      <c r="E16" s="48" t="s">
        <v>80</v>
      </c>
      <c r="F16" s="48"/>
    </row>
    <row r="17" spans="1:14" x14ac:dyDescent="0.35">
      <c r="A17" s="48" t="s">
        <v>76</v>
      </c>
      <c r="B17" s="60">
        <v>792</v>
      </c>
      <c r="C17" s="48">
        <f>B17*0.2*B18/12</f>
        <v>132</v>
      </c>
      <c r="D17" s="48">
        <f>C17/0.2*12/(12-B18)</f>
        <v>3960</v>
      </c>
      <c r="E17" s="48">
        <f>D17/12*0.2*(12-B18)</f>
        <v>132</v>
      </c>
      <c r="F17" s="48"/>
      <c r="H17" s="57" t="s">
        <v>317</v>
      </c>
      <c r="I17" s="65"/>
      <c r="J17" s="65"/>
      <c r="K17" s="58"/>
      <c r="L17" s="48">
        <f>(33700+12570)/12</f>
        <v>3855.8333333333335</v>
      </c>
    </row>
    <row r="18" spans="1:14" x14ac:dyDescent="0.35">
      <c r="A18" s="48" t="s">
        <v>77</v>
      </c>
      <c r="B18" s="60">
        <v>10</v>
      </c>
      <c r="C18" s="48"/>
      <c r="D18" s="48"/>
      <c r="E18" s="48"/>
      <c r="F18" s="48"/>
      <c r="N18">
        <f>9000*7/12</f>
        <v>5250</v>
      </c>
    </row>
    <row r="19" spans="1:14" x14ac:dyDescent="0.35">
      <c r="N19">
        <f>120*12</f>
        <v>1440</v>
      </c>
    </row>
    <row r="20" spans="1:14" x14ac:dyDescent="0.35">
      <c r="A20" s="48"/>
      <c r="B20" s="48"/>
      <c r="C20" s="48" t="s">
        <v>78</v>
      </c>
      <c r="D20" s="49" t="s">
        <v>79</v>
      </c>
      <c r="E20" s="48" t="s">
        <v>164</v>
      </c>
      <c r="F20" s="48"/>
    </row>
    <row r="21" spans="1:14" x14ac:dyDescent="0.35">
      <c r="A21" s="48" t="s">
        <v>76</v>
      </c>
      <c r="B21" s="60">
        <v>847</v>
      </c>
      <c r="C21" s="48">
        <f>B21*0.4*B22/12</f>
        <v>282.33333333333331</v>
      </c>
      <c r="D21" s="48">
        <f>C21/0.2*12/(12-B22)</f>
        <v>8470</v>
      </c>
      <c r="E21" s="48">
        <f>D21/12</f>
        <v>705.83333333333337</v>
      </c>
      <c r="F21" s="48"/>
    </row>
    <row r="22" spans="1:14" x14ac:dyDescent="0.35">
      <c r="A22" s="48" t="s">
        <v>77</v>
      </c>
      <c r="B22" s="60">
        <v>10</v>
      </c>
      <c r="C22" s="48"/>
      <c r="D22" s="48"/>
      <c r="E22" s="48"/>
      <c r="F22" s="48"/>
      <c r="H22" s="19" t="s">
        <v>318</v>
      </c>
      <c r="I22" s="19"/>
      <c r="J22" s="19"/>
    </row>
    <row r="36" spans="1:13" x14ac:dyDescent="0.35">
      <c r="A36" t="s">
        <v>86</v>
      </c>
      <c r="B36" t="s">
        <v>108</v>
      </c>
      <c r="C36" t="s">
        <v>56</v>
      </c>
      <c r="D36" t="s">
        <v>111</v>
      </c>
      <c r="E36" t="s">
        <v>112</v>
      </c>
      <c r="F36" t="s">
        <v>113</v>
      </c>
      <c r="G36" t="s">
        <v>115</v>
      </c>
      <c r="H36" t="s">
        <v>119</v>
      </c>
      <c r="J36" t="s">
        <v>122</v>
      </c>
      <c r="K36" t="s">
        <v>117</v>
      </c>
      <c r="L36" t="s">
        <v>114</v>
      </c>
      <c r="M36" t="s">
        <v>91</v>
      </c>
    </row>
    <row r="41" spans="1:13" x14ac:dyDescent="0.35">
      <c r="A41" t="s">
        <v>33</v>
      </c>
    </row>
    <row r="42" spans="1:13" x14ac:dyDescent="0.35">
      <c r="A42" t="s">
        <v>110</v>
      </c>
    </row>
    <row r="43" spans="1:13" x14ac:dyDescent="0.35">
      <c r="A43" t="s">
        <v>43</v>
      </c>
    </row>
    <row r="44" spans="1:13" x14ac:dyDescent="0.35">
      <c r="A44" t="s">
        <v>109</v>
      </c>
    </row>
    <row r="45" spans="1:13" x14ac:dyDescent="0.35">
      <c r="A45" t="s">
        <v>123</v>
      </c>
    </row>
    <row r="46" spans="1:13" x14ac:dyDescent="0.35">
      <c r="A46" t="s">
        <v>124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2C78F-1CDE-4F46-8735-53340F9DE93A}">
  <sheetPr codeName="Sheet8"/>
  <dimension ref="A1:M21"/>
  <sheetViews>
    <sheetView workbookViewId="0">
      <selection activeCell="F8" sqref="F8"/>
    </sheetView>
  </sheetViews>
  <sheetFormatPr defaultRowHeight="14.5" x14ac:dyDescent="0.35"/>
  <cols>
    <col min="1" max="1" width="10.26953125" customWidth="1"/>
    <col min="2" max="2" width="11.81640625" customWidth="1"/>
    <col min="3" max="3" width="10.26953125" customWidth="1"/>
    <col min="4" max="5" width="12.90625" customWidth="1"/>
    <col min="6" max="6" width="16.36328125" customWidth="1"/>
    <col min="7" max="7" width="11.08984375" customWidth="1"/>
    <col min="8" max="8" width="13.36328125" customWidth="1"/>
    <col min="9" max="9" width="10.90625" customWidth="1"/>
    <col min="10" max="10" width="11.26953125" customWidth="1"/>
    <col min="11" max="11" width="16.26953125" customWidth="1"/>
    <col min="12" max="12" width="10.26953125" customWidth="1"/>
    <col min="13" max="13" width="15.453125" customWidth="1"/>
  </cols>
  <sheetData>
    <row r="1" spans="1:13" x14ac:dyDescent="0.35">
      <c r="A1" s="56" t="s">
        <v>304</v>
      </c>
      <c r="B1" s="57" t="s">
        <v>314</v>
      </c>
      <c r="C1" s="58"/>
      <c r="D1" s="59" t="s">
        <v>303</v>
      </c>
      <c r="E1" s="56" t="s">
        <v>304</v>
      </c>
      <c r="F1" s="57" t="s">
        <v>313</v>
      </c>
      <c r="G1" s="58"/>
      <c r="I1" s="56" t="s">
        <v>315</v>
      </c>
      <c r="J1" s="56" t="s">
        <v>57</v>
      </c>
      <c r="K1" s="56" t="s">
        <v>316</v>
      </c>
    </row>
    <row r="2" spans="1:13" x14ac:dyDescent="0.35">
      <c r="A2" s="49">
        <f>DATEDIF(DATE(2024,4,6), D2, "m")</f>
        <v>6</v>
      </c>
      <c r="B2" s="50">
        <f>D2-DATE(2024,4,6)</f>
        <v>207</v>
      </c>
      <c r="C2" s="51"/>
      <c r="D2" s="52">
        <v>45595</v>
      </c>
      <c r="E2" s="53">
        <f>DATEDIF(D2,DATE(2025,4,5), "m")+1</f>
        <v>6</v>
      </c>
      <c r="F2" s="50">
        <f>DATE(2025,4,5)-D2+1</f>
        <v>158</v>
      </c>
      <c r="G2" s="51"/>
      <c r="I2" s="55">
        <v>45591</v>
      </c>
      <c r="J2" s="55">
        <v>45753</v>
      </c>
      <c r="K2" s="53">
        <f>DATEDIF(I2, J2, "d")/7</f>
        <v>23.142857142857142</v>
      </c>
      <c r="M2">
        <f>23*233.12</f>
        <v>5361.76</v>
      </c>
    </row>
    <row r="4" spans="1:13" ht="29" x14ac:dyDescent="0.35">
      <c r="A4" s="45" t="s">
        <v>185</v>
      </c>
      <c r="B4" s="45" t="s">
        <v>186</v>
      </c>
      <c r="C4" s="45" t="s">
        <v>307</v>
      </c>
      <c r="D4" s="45" t="s">
        <v>308</v>
      </c>
      <c r="E4" s="45" t="s">
        <v>309</v>
      </c>
      <c r="F4" s="45" t="s">
        <v>310</v>
      </c>
      <c r="G4" s="45" t="s">
        <v>311</v>
      </c>
      <c r="H4" s="45" t="s">
        <v>312</v>
      </c>
      <c r="J4" s="45" t="s">
        <v>291</v>
      </c>
      <c r="K4" s="45" t="s">
        <v>292</v>
      </c>
      <c r="L4" s="45" t="s">
        <v>305</v>
      </c>
      <c r="M4" s="45" t="s">
        <v>306</v>
      </c>
    </row>
    <row r="5" spans="1:13" x14ac:dyDescent="0.35">
      <c r="A5" s="46" t="s">
        <v>187</v>
      </c>
      <c r="B5" s="46" t="s">
        <v>188</v>
      </c>
      <c r="C5" s="46" t="s">
        <v>213</v>
      </c>
      <c r="D5" s="46" t="s">
        <v>214</v>
      </c>
      <c r="E5" s="46" t="s">
        <v>239</v>
      </c>
      <c r="F5" s="46" t="s">
        <v>240</v>
      </c>
      <c r="G5" s="46" t="s">
        <v>265</v>
      </c>
      <c r="H5" s="46" t="s">
        <v>266</v>
      </c>
      <c r="J5" s="46" t="s">
        <v>187</v>
      </c>
      <c r="K5" s="46" t="s">
        <v>188</v>
      </c>
      <c r="L5" s="46" t="s">
        <v>199</v>
      </c>
      <c r="M5" s="46" t="s">
        <v>297</v>
      </c>
    </row>
    <row r="6" spans="1:13" x14ac:dyDescent="0.35">
      <c r="A6" s="46" t="s">
        <v>189</v>
      </c>
      <c r="B6" s="46" t="s">
        <v>190</v>
      </c>
      <c r="C6" s="46" t="s">
        <v>215</v>
      </c>
      <c r="D6" s="46" t="s">
        <v>216</v>
      </c>
      <c r="E6" s="46" t="s">
        <v>241</v>
      </c>
      <c r="F6" s="46" t="s">
        <v>242</v>
      </c>
      <c r="G6" s="46" t="s">
        <v>267</v>
      </c>
      <c r="H6" s="46" t="s">
        <v>268</v>
      </c>
      <c r="J6" s="46" t="s">
        <v>189</v>
      </c>
      <c r="K6" s="46" t="s">
        <v>293</v>
      </c>
      <c r="L6" s="46" t="s">
        <v>201</v>
      </c>
      <c r="M6" s="46" t="s">
        <v>298</v>
      </c>
    </row>
    <row r="7" spans="1:13" x14ac:dyDescent="0.35">
      <c r="A7" s="46" t="s">
        <v>191</v>
      </c>
      <c r="B7" s="46" t="s">
        <v>192</v>
      </c>
      <c r="C7" s="46" t="s">
        <v>217</v>
      </c>
      <c r="D7" s="46" t="s">
        <v>218</v>
      </c>
      <c r="E7" s="46" t="s">
        <v>243</v>
      </c>
      <c r="F7" s="46" t="s">
        <v>244</v>
      </c>
      <c r="G7" s="46" t="s">
        <v>269</v>
      </c>
      <c r="H7" s="46" t="s">
        <v>270</v>
      </c>
      <c r="J7" s="46" t="s">
        <v>191</v>
      </c>
      <c r="K7" s="46" t="s">
        <v>294</v>
      </c>
      <c r="L7" s="46" t="s">
        <v>203</v>
      </c>
      <c r="M7" s="46" t="s">
        <v>299</v>
      </c>
    </row>
    <row r="8" spans="1:13" x14ac:dyDescent="0.35">
      <c r="A8" s="46" t="s">
        <v>193</v>
      </c>
      <c r="B8" s="46" t="s">
        <v>194</v>
      </c>
      <c r="C8" s="46" t="s">
        <v>219</v>
      </c>
      <c r="D8" s="46" t="s">
        <v>220</v>
      </c>
      <c r="E8" s="46" t="s">
        <v>245</v>
      </c>
      <c r="F8" s="46" t="s">
        <v>246</v>
      </c>
      <c r="G8" s="46" t="s">
        <v>271</v>
      </c>
      <c r="H8" s="46" t="s">
        <v>272</v>
      </c>
      <c r="J8" s="46" t="s">
        <v>193</v>
      </c>
      <c r="K8" s="46" t="s">
        <v>214</v>
      </c>
      <c r="L8" s="46" t="s">
        <v>205</v>
      </c>
      <c r="M8" s="46" t="s">
        <v>300</v>
      </c>
    </row>
    <row r="9" spans="1:13" x14ac:dyDescent="0.35">
      <c r="A9" s="46" t="s">
        <v>195</v>
      </c>
      <c r="B9" s="46" t="s">
        <v>196</v>
      </c>
      <c r="C9" s="46" t="s">
        <v>221</v>
      </c>
      <c r="D9" s="46" t="s">
        <v>222</v>
      </c>
      <c r="E9" s="46" t="s">
        <v>247</v>
      </c>
      <c r="F9" s="46" t="s">
        <v>248</v>
      </c>
      <c r="G9" s="46" t="s">
        <v>273</v>
      </c>
      <c r="H9" s="46" t="s">
        <v>274</v>
      </c>
      <c r="J9" s="46" t="s">
        <v>195</v>
      </c>
      <c r="K9" s="46" t="s">
        <v>295</v>
      </c>
      <c r="L9" s="46" t="s">
        <v>207</v>
      </c>
      <c r="M9" s="46" t="s">
        <v>301</v>
      </c>
    </row>
    <row r="10" spans="1:13" x14ac:dyDescent="0.35">
      <c r="A10" s="46" t="s">
        <v>197</v>
      </c>
      <c r="B10" s="46" t="s">
        <v>198</v>
      </c>
      <c r="C10" s="46" t="s">
        <v>223</v>
      </c>
      <c r="D10" s="46" t="s">
        <v>224</v>
      </c>
      <c r="E10" s="46" t="s">
        <v>249</v>
      </c>
      <c r="F10" s="46" t="s">
        <v>250</v>
      </c>
      <c r="G10" s="46" t="s">
        <v>275</v>
      </c>
      <c r="H10" s="46" t="s">
        <v>276</v>
      </c>
      <c r="J10" s="46" t="s">
        <v>197</v>
      </c>
      <c r="K10" s="46" t="s">
        <v>296</v>
      </c>
      <c r="L10" s="46" t="s">
        <v>209</v>
      </c>
      <c r="M10" s="46" t="s">
        <v>302</v>
      </c>
    </row>
    <row r="11" spans="1:13" x14ac:dyDescent="0.35">
      <c r="A11" s="46" t="s">
        <v>199</v>
      </c>
      <c r="B11" s="46" t="s">
        <v>200</v>
      </c>
      <c r="C11" s="46" t="s">
        <v>225</v>
      </c>
      <c r="D11" s="46" t="s">
        <v>226</v>
      </c>
      <c r="E11" s="46" t="s">
        <v>251</v>
      </c>
      <c r="F11" s="46" t="s">
        <v>252</v>
      </c>
      <c r="G11" s="46" t="s">
        <v>277</v>
      </c>
      <c r="H11" s="46" t="s">
        <v>278</v>
      </c>
    </row>
    <row r="12" spans="1:13" x14ac:dyDescent="0.35">
      <c r="A12" s="46" t="s">
        <v>201</v>
      </c>
      <c r="B12" s="46" t="s">
        <v>202</v>
      </c>
      <c r="C12" s="46" t="s">
        <v>227</v>
      </c>
      <c r="D12" s="46" t="s">
        <v>228</v>
      </c>
      <c r="E12" s="46" t="s">
        <v>253</v>
      </c>
      <c r="F12" s="46" t="s">
        <v>254</v>
      </c>
      <c r="G12" s="46" t="s">
        <v>279</v>
      </c>
      <c r="H12" s="46" t="s">
        <v>280</v>
      </c>
    </row>
    <row r="13" spans="1:13" x14ac:dyDescent="0.35">
      <c r="A13" s="46" t="s">
        <v>203</v>
      </c>
      <c r="B13" s="46" t="s">
        <v>204</v>
      </c>
      <c r="C13" s="46" t="s">
        <v>229</v>
      </c>
      <c r="D13" s="46" t="s">
        <v>230</v>
      </c>
      <c r="E13" s="46" t="s">
        <v>255</v>
      </c>
      <c r="F13" s="46" t="s">
        <v>256</v>
      </c>
      <c r="G13" s="46" t="s">
        <v>281</v>
      </c>
      <c r="H13" s="46" t="s">
        <v>282</v>
      </c>
    </row>
    <row r="14" spans="1:13" x14ac:dyDescent="0.35">
      <c r="A14" s="46" t="s">
        <v>205</v>
      </c>
      <c r="B14" s="46" t="s">
        <v>206</v>
      </c>
      <c r="C14" s="46" t="s">
        <v>231</v>
      </c>
      <c r="D14" s="46" t="s">
        <v>232</v>
      </c>
      <c r="E14" s="46" t="s">
        <v>257</v>
      </c>
      <c r="F14" s="46" t="s">
        <v>258</v>
      </c>
      <c r="G14" s="46" t="s">
        <v>283</v>
      </c>
      <c r="H14" s="46" t="s">
        <v>284</v>
      </c>
    </row>
    <row r="15" spans="1:13" x14ac:dyDescent="0.35">
      <c r="A15" s="46" t="s">
        <v>207</v>
      </c>
      <c r="B15" s="46" t="s">
        <v>208</v>
      </c>
      <c r="C15" s="46" t="s">
        <v>233</v>
      </c>
      <c r="D15" s="46" t="s">
        <v>234</v>
      </c>
      <c r="E15" s="46" t="s">
        <v>259</v>
      </c>
      <c r="F15" s="46" t="s">
        <v>260</v>
      </c>
      <c r="G15" s="46" t="s">
        <v>285</v>
      </c>
      <c r="H15" s="46" t="s">
        <v>286</v>
      </c>
    </row>
    <row r="16" spans="1:13" x14ac:dyDescent="0.35">
      <c r="A16" s="46" t="s">
        <v>209</v>
      </c>
      <c r="B16" s="46" t="s">
        <v>210</v>
      </c>
      <c r="C16" s="46" t="s">
        <v>235</v>
      </c>
      <c r="D16" s="46" t="s">
        <v>236</v>
      </c>
      <c r="E16" s="46" t="s">
        <v>261</v>
      </c>
      <c r="F16" s="46" t="s">
        <v>262</v>
      </c>
      <c r="G16" s="46" t="s">
        <v>287</v>
      </c>
      <c r="H16" s="46" t="s">
        <v>288</v>
      </c>
    </row>
    <row r="17" spans="1:8" x14ac:dyDescent="0.35">
      <c r="A17" s="46" t="s">
        <v>211</v>
      </c>
      <c r="B17" s="46" t="s">
        <v>212</v>
      </c>
      <c r="C17" s="46" t="s">
        <v>237</v>
      </c>
      <c r="D17" s="46" t="s">
        <v>238</v>
      </c>
      <c r="E17" s="46" t="s">
        <v>263</v>
      </c>
      <c r="F17" s="46" t="s">
        <v>264</v>
      </c>
      <c r="G17" s="46" t="s">
        <v>289</v>
      </c>
      <c r="H17" s="46" t="s">
        <v>290</v>
      </c>
    </row>
    <row r="21" spans="1:8" x14ac:dyDescent="0.35">
      <c r="C21" s="14"/>
      <c r="D21" s="14"/>
      <c r="E21" s="15"/>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30492-BFA5-4077-8C1D-D5E48844DD00}">
  <sheetPr codeName="Sheet6"/>
  <dimension ref="A1:M32"/>
  <sheetViews>
    <sheetView workbookViewId="0">
      <selection activeCell="M19" sqref="M19"/>
    </sheetView>
  </sheetViews>
  <sheetFormatPr defaultRowHeight="14.5" x14ac:dyDescent="0.35"/>
  <cols>
    <col min="1" max="1" width="13.54296875" customWidth="1"/>
    <col min="2" max="2" width="10.90625" customWidth="1"/>
    <col min="3" max="3" width="10.08984375" customWidth="1"/>
    <col min="4" max="4" width="15.1796875" customWidth="1"/>
    <col min="5" max="5" width="11.81640625" customWidth="1"/>
    <col min="7" max="7" width="13.81640625" customWidth="1"/>
    <col min="8" max="8" width="17.08984375" customWidth="1"/>
    <col min="9" max="9" width="9.1796875" customWidth="1"/>
  </cols>
  <sheetData>
    <row r="1" spans="1:13" x14ac:dyDescent="0.35">
      <c r="B1" t="s">
        <v>108</v>
      </c>
      <c r="C1" t="s">
        <v>56</v>
      </c>
      <c r="D1" t="s">
        <v>111</v>
      </c>
      <c r="E1" t="s">
        <v>112</v>
      </c>
      <c r="F1" t="s">
        <v>113</v>
      </c>
      <c r="G1" t="s">
        <v>115</v>
      </c>
      <c r="H1" t="s">
        <v>119</v>
      </c>
      <c r="I1" t="s">
        <v>43</v>
      </c>
      <c r="J1" t="s">
        <v>122</v>
      </c>
      <c r="K1" t="s">
        <v>117</v>
      </c>
      <c r="L1" t="s">
        <v>114</v>
      </c>
      <c r="M1" t="s">
        <v>91</v>
      </c>
    </row>
    <row r="2" spans="1:13" x14ac:dyDescent="0.35">
      <c r="A2" t="s">
        <v>141</v>
      </c>
      <c r="B2">
        <v>8998.7000000000007</v>
      </c>
      <c r="C2">
        <v>2162.3000000000002</v>
      </c>
      <c r="D2">
        <v>3150.3</v>
      </c>
      <c r="E2">
        <v>963.12</v>
      </c>
      <c r="F2">
        <v>1997.02</v>
      </c>
      <c r="G2">
        <v>274.67</v>
      </c>
      <c r="H2">
        <v>793.72</v>
      </c>
      <c r="I2" t="s">
        <v>116</v>
      </c>
      <c r="J2" t="s">
        <v>47</v>
      </c>
      <c r="K2">
        <f>5640/12</f>
        <v>470</v>
      </c>
      <c r="L2">
        <v>190</v>
      </c>
      <c r="M2">
        <f>(D2+K2)*0.21</f>
        <v>760.26300000000003</v>
      </c>
    </row>
    <row r="3" spans="1:13" x14ac:dyDescent="0.35">
      <c r="A3" t="s">
        <v>142</v>
      </c>
      <c r="B3">
        <v>12343.92</v>
      </c>
      <c r="C3">
        <v>3206.9</v>
      </c>
      <c r="D3">
        <v>3345.22</v>
      </c>
      <c r="E3" s="19">
        <v>1044.5999999999999</v>
      </c>
      <c r="F3">
        <v>2214.88</v>
      </c>
      <c r="G3">
        <v>293.2</v>
      </c>
      <c r="H3">
        <v>1086.92</v>
      </c>
      <c r="I3" t="s">
        <v>116</v>
      </c>
      <c r="J3" t="s">
        <v>47</v>
      </c>
      <c r="K3">
        <f>5640/12</f>
        <v>470</v>
      </c>
      <c r="L3">
        <v>85.74</v>
      </c>
      <c r="M3">
        <f>(D3+K3)*0.21</f>
        <v>801.19619999999998</v>
      </c>
    </row>
    <row r="4" spans="1:13" x14ac:dyDescent="0.35">
      <c r="A4" t="s">
        <v>143</v>
      </c>
      <c r="B4">
        <v>16018.18</v>
      </c>
      <c r="C4">
        <v>4082</v>
      </c>
      <c r="D4">
        <v>3674.25</v>
      </c>
      <c r="E4" s="19">
        <v>874.92</v>
      </c>
      <c r="F4">
        <v>2691.62</v>
      </c>
      <c r="G4">
        <v>0</v>
      </c>
      <c r="H4">
        <v>0</v>
      </c>
      <c r="I4" t="s">
        <v>118</v>
      </c>
      <c r="J4" t="s">
        <v>47</v>
      </c>
      <c r="K4">
        <f>-3149/12</f>
        <v>-262.41666666666669</v>
      </c>
      <c r="L4">
        <v>107.72</v>
      </c>
      <c r="M4">
        <f>(D4+K4)*0.21</f>
        <v>716.48500000000001</v>
      </c>
    </row>
    <row r="5" spans="1:13" x14ac:dyDescent="0.35">
      <c r="A5" t="s">
        <v>144</v>
      </c>
      <c r="B5">
        <v>15062</v>
      </c>
      <c r="C5">
        <v>3162.81</v>
      </c>
      <c r="H5">
        <v>563.79999999999995</v>
      </c>
      <c r="I5" t="s">
        <v>120</v>
      </c>
      <c r="J5" t="s">
        <v>47</v>
      </c>
    </row>
    <row r="6" spans="1:13" x14ac:dyDescent="0.35">
      <c r="A6" t="s">
        <v>145</v>
      </c>
      <c r="B6">
        <v>2438.0100000000002</v>
      </c>
      <c r="C6">
        <v>0</v>
      </c>
      <c r="H6">
        <v>95.3</v>
      </c>
      <c r="I6" t="s">
        <v>121</v>
      </c>
      <c r="J6" t="s">
        <v>47</v>
      </c>
    </row>
    <row r="8" spans="1:13" x14ac:dyDescent="0.35">
      <c r="A8" t="s">
        <v>33</v>
      </c>
      <c r="B8">
        <f>SUM(B4:B6)</f>
        <v>33518.19</v>
      </c>
      <c r="C8">
        <v>3674.25</v>
      </c>
      <c r="D8">
        <v>3345.22</v>
      </c>
      <c r="G8">
        <f>B2+D3</f>
        <v>12343.92</v>
      </c>
      <c r="H8">
        <f>H2+G3</f>
        <v>1086.92</v>
      </c>
    </row>
    <row r="9" spans="1:13" x14ac:dyDescent="0.35">
      <c r="A9" t="s">
        <v>110</v>
      </c>
      <c r="B9">
        <v>7</v>
      </c>
      <c r="C9">
        <v>1</v>
      </c>
      <c r="D9">
        <v>1</v>
      </c>
      <c r="G9">
        <f>C3-C2</f>
        <v>1044.5999999999999</v>
      </c>
    </row>
    <row r="10" spans="1:13" x14ac:dyDescent="0.35">
      <c r="A10" t="s">
        <v>43</v>
      </c>
      <c r="B10" t="s">
        <v>118</v>
      </c>
      <c r="C10" t="s">
        <v>118</v>
      </c>
      <c r="D10" t="s">
        <v>116</v>
      </c>
    </row>
    <row r="11" spans="1:13" x14ac:dyDescent="0.35">
      <c r="A11" t="s">
        <v>109</v>
      </c>
      <c r="B11">
        <v>9401</v>
      </c>
      <c r="C11" s="19">
        <v>874.92</v>
      </c>
      <c r="D11" s="19">
        <v>1044.5999999999999</v>
      </c>
    </row>
    <row r="13" spans="1:13" x14ac:dyDescent="0.35">
      <c r="A13" s="19" t="s">
        <v>62</v>
      </c>
    </row>
    <row r="14" spans="1:13" x14ac:dyDescent="0.35">
      <c r="A14" t="s">
        <v>131</v>
      </c>
      <c r="B14" t="s">
        <v>126</v>
      </c>
      <c r="C14" t="s">
        <v>118</v>
      </c>
      <c r="D14" t="s">
        <v>127</v>
      </c>
      <c r="E14">
        <v>1</v>
      </c>
    </row>
    <row r="15" spans="1:13" x14ac:dyDescent="0.35">
      <c r="A15" t="s">
        <v>129</v>
      </c>
      <c r="B15" t="s">
        <v>130</v>
      </c>
      <c r="C15" t="s">
        <v>128</v>
      </c>
      <c r="D15" t="s">
        <v>146</v>
      </c>
      <c r="E15" t="s">
        <v>125</v>
      </c>
      <c r="G15" t="s">
        <v>107</v>
      </c>
      <c r="H15" t="s">
        <v>33</v>
      </c>
    </row>
    <row r="16" spans="1:13" x14ac:dyDescent="0.35">
      <c r="A16">
        <f>3674.25*12</f>
        <v>44091</v>
      </c>
      <c r="B16">
        <v>3140</v>
      </c>
      <c r="C16">
        <f>A16-B16</f>
        <v>40951</v>
      </c>
      <c r="D16" s="30" t="s">
        <v>134</v>
      </c>
      <c r="E16">
        <v>2306</v>
      </c>
      <c r="G16">
        <v>0.19</v>
      </c>
      <c r="H16">
        <f>E16*G16</f>
        <v>438.14</v>
      </c>
    </row>
    <row r="17" spans="1:8" x14ac:dyDescent="0.35">
      <c r="D17" s="17" t="s">
        <v>135</v>
      </c>
      <c r="E17">
        <f>13991-2307</f>
        <v>11684</v>
      </c>
      <c r="G17">
        <v>0.2</v>
      </c>
      <c r="H17">
        <f>E17*G17</f>
        <v>2336.8000000000002</v>
      </c>
    </row>
    <row r="18" spans="1:8" x14ac:dyDescent="0.35">
      <c r="D18" s="17" t="s">
        <v>136</v>
      </c>
      <c r="E18">
        <f>31092-13391</f>
        <v>17701</v>
      </c>
      <c r="G18">
        <v>0.21</v>
      </c>
      <c r="H18">
        <f>E18*G18</f>
        <v>3717.21</v>
      </c>
    </row>
    <row r="19" spans="1:8" x14ac:dyDescent="0.35">
      <c r="D19" s="17" t="s">
        <v>137</v>
      </c>
      <c r="E19">
        <f>40951-31092</f>
        <v>9859</v>
      </c>
      <c r="G19">
        <v>0.42</v>
      </c>
      <c r="H19">
        <f>E19*G19</f>
        <v>4140.78</v>
      </c>
    </row>
    <row r="20" spans="1:8" x14ac:dyDescent="0.35">
      <c r="D20" t="s">
        <v>138</v>
      </c>
      <c r="G20">
        <v>0.47</v>
      </c>
    </row>
    <row r="21" spans="1:8" x14ac:dyDescent="0.35">
      <c r="G21" t="s">
        <v>139</v>
      </c>
      <c r="H21">
        <f>SUM(H16:H20)</f>
        <v>10632.93</v>
      </c>
    </row>
    <row r="22" spans="1:8" x14ac:dyDescent="0.35">
      <c r="G22" t="s">
        <v>140</v>
      </c>
      <c r="H22" s="19">
        <f>H21/12</f>
        <v>886.07749999999999</v>
      </c>
    </row>
    <row r="24" spans="1:8" x14ac:dyDescent="0.35">
      <c r="A24" t="s">
        <v>131</v>
      </c>
      <c r="B24" t="s">
        <v>126</v>
      </c>
      <c r="C24" t="s">
        <v>116</v>
      </c>
      <c r="D24" t="s">
        <v>127</v>
      </c>
      <c r="E24">
        <v>1</v>
      </c>
    </row>
    <row r="25" spans="1:8" x14ac:dyDescent="0.35">
      <c r="A25" t="s">
        <v>129</v>
      </c>
      <c r="B25" t="s">
        <v>130</v>
      </c>
      <c r="C25" t="s">
        <v>128</v>
      </c>
      <c r="D25" t="s">
        <v>146</v>
      </c>
      <c r="E25" t="s">
        <v>125</v>
      </c>
      <c r="G25" t="s">
        <v>107</v>
      </c>
      <c r="H25" t="s">
        <v>33</v>
      </c>
    </row>
    <row r="26" spans="1:8" x14ac:dyDescent="0.35">
      <c r="A26">
        <f>3345.22*12</f>
        <v>40142.639999999999</v>
      </c>
      <c r="B26">
        <v>-5640</v>
      </c>
      <c r="C26">
        <f>A26-B26</f>
        <v>45782.64</v>
      </c>
      <c r="D26" s="30" t="s">
        <v>134</v>
      </c>
      <c r="E26">
        <v>2306</v>
      </c>
      <c r="G26">
        <v>0.19</v>
      </c>
      <c r="H26">
        <f>E26*G26</f>
        <v>438.14</v>
      </c>
    </row>
    <row r="27" spans="1:8" x14ac:dyDescent="0.35">
      <c r="D27" s="17" t="s">
        <v>135</v>
      </c>
      <c r="E27">
        <f>13991-2307</f>
        <v>11684</v>
      </c>
      <c r="G27">
        <v>0.2</v>
      </c>
      <c r="H27">
        <f>E27*G27</f>
        <v>2336.8000000000002</v>
      </c>
    </row>
    <row r="28" spans="1:8" x14ac:dyDescent="0.35">
      <c r="D28" s="17" t="s">
        <v>136</v>
      </c>
      <c r="E28">
        <f>31092-13391</f>
        <v>17701</v>
      </c>
      <c r="G28">
        <v>0.21</v>
      </c>
      <c r="H28">
        <f>E28*G28</f>
        <v>3717.21</v>
      </c>
    </row>
    <row r="29" spans="1:8" x14ac:dyDescent="0.35">
      <c r="D29" s="17" t="s">
        <v>137</v>
      </c>
      <c r="E29">
        <f>45782.64-31092</f>
        <v>14690.64</v>
      </c>
      <c r="G29">
        <v>0.42</v>
      </c>
      <c r="H29">
        <f>E29*G29</f>
        <v>6170.0687999999991</v>
      </c>
    </row>
    <row r="30" spans="1:8" x14ac:dyDescent="0.35">
      <c r="D30" t="s">
        <v>138</v>
      </c>
      <c r="G30">
        <v>0.47</v>
      </c>
    </row>
    <row r="31" spans="1:8" x14ac:dyDescent="0.35">
      <c r="G31" t="s">
        <v>139</v>
      </c>
      <c r="H31">
        <f>SUM(H26:H30)</f>
        <v>12662.218799999999</v>
      </c>
    </row>
    <row r="32" spans="1:8" x14ac:dyDescent="0.35">
      <c r="G32" t="s">
        <v>140</v>
      </c>
      <c r="H32" s="19">
        <f>H31/12</f>
        <v>1055.1849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48689-2BF4-4DF4-B481-524E7B6E6023}">
  <sheetPr codeName="Sheet7"/>
  <dimension ref="A1:E11"/>
  <sheetViews>
    <sheetView workbookViewId="0">
      <selection activeCell="H13" sqref="H13"/>
    </sheetView>
  </sheetViews>
  <sheetFormatPr defaultRowHeight="14.5" x14ac:dyDescent="0.35"/>
  <cols>
    <col min="1" max="1" width="12.36328125" customWidth="1"/>
    <col min="2" max="2" width="13.453125" customWidth="1"/>
    <col min="3" max="3" width="26.54296875" customWidth="1"/>
    <col min="4" max="4" width="13.90625" customWidth="1"/>
    <col min="5" max="5" width="29.81640625" customWidth="1"/>
    <col min="7" max="7" width="16.7265625" customWidth="1"/>
  </cols>
  <sheetData>
    <row r="1" spans="1:5" x14ac:dyDescent="0.35">
      <c r="A1" t="s">
        <v>162</v>
      </c>
    </row>
    <row r="3" spans="1:5" x14ac:dyDescent="0.35">
      <c r="A3" t="s">
        <v>157</v>
      </c>
      <c r="B3" t="s">
        <v>158</v>
      </c>
      <c r="C3" t="s">
        <v>160</v>
      </c>
      <c r="D3" t="s">
        <v>159</v>
      </c>
      <c r="E3" t="s">
        <v>163</v>
      </c>
    </row>
    <row r="4" spans="1:5" x14ac:dyDescent="0.35">
      <c r="A4">
        <v>2400</v>
      </c>
      <c r="B4">
        <v>8</v>
      </c>
      <c r="C4">
        <f>A4*0.2*B4/12</f>
        <v>320</v>
      </c>
      <c r="D4">
        <f>C4/0.2*12/(12-B4)</f>
        <v>4800</v>
      </c>
      <c r="E4">
        <f>D4*0.2*4/12</f>
        <v>320</v>
      </c>
    </row>
    <row r="5" spans="1:5" x14ac:dyDescent="0.35">
      <c r="E5" t="str">
        <f>IF(E4=C4,"Correct","error")</f>
        <v>Correct</v>
      </c>
    </row>
    <row r="7" spans="1:5" x14ac:dyDescent="0.35">
      <c r="A7" t="s">
        <v>161</v>
      </c>
    </row>
    <row r="8" spans="1:5" x14ac:dyDescent="0.35">
      <c r="A8" s="31" t="s">
        <v>153</v>
      </c>
    </row>
    <row r="9" spans="1:5" x14ac:dyDescent="0.35">
      <c r="A9" s="31" t="s">
        <v>156</v>
      </c>
    </row>
    <row r="10" spans="1:5" x14ac:dyDescent="0.35">
      <c r="A10" s="31" t="s">
        <v>154</v>
      </c>
    </row>
    <row r="11" spans="1:5" x14ac:dyDescent="0.35">
      <c r="A11" s="31" t="s">
        <v>155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98A93-C459-4B7E-95AF-A043A7AF89DF}">
  <sheetPr codeName="Sheet3"/>
  <dimension ref="A1:P47"/>
  <sheetViews>
    <sheetView workbookViewId="0">
      <selection activeCell="E22" sqref="E22"/>
    </sheetView>
  </sheetViews>
  <sheetFormatPr defaultRowHeight="14.5" x14ac:dyDescent="0.35"/>
  <cols>
    <col min="1" max="1" width="32.81640625" customWidth="1"/>
    <col min="2" max="2" width="18.81640625" customWidth="1"/>
    <col min="3" max="3" width="11.54296875" customWidth="1"/>
    <col min="4" max="4" width="12.81640625" customWidth="1"/>
    <col min="5" max="5" width="12.90625" customWidth="1"/>
    <col min="6" max="6" width="11.26953125" customWidth="1"/>
    <col min="7" max="7" width="12.08984375" customWidth="1"/>
    <col min="8" max="8" width="14.08984375" customWidth="1"/>
    <col min="9" max="9" width="10.26953125" customWidth="1"/>
    <col min="10" max="10" width="10.453125" bestFit="1" customWidth="1"/>
    <col min="11" max="11" width="10.36328125" customWidth="1"/>
    <col min="12" max="12" width="13.7265625" customWidth="1"/>
    <col min="13" max="13" width="12.90625" customWidth="1"/>
    <col min="14" max="14" width="10.453125" bestFit="1" customWidth="1"/>
  </cols>
  <sheetData>
    <row r="1" spans="1:14" x14ac:dyDescent="0.35">
      <c r="A1" t="s">
        <v>67</v>
      </c>
      <c r="D1" t="s">
        <v>174</v>
      </c>
      <c r="H1" t="s">
        <v>43</v>
      </c>
      <c r="M1" t="s">
        <v>41</v>
      </c>
      <c r="N1" t="s">
        <v>35</v>
      </c>
    </row>
    <row r="2" spans="1:14" x14ac:dyDescent="0.35">
      <c r="A2" t="s">
        <v>63</v>
      </c>
      <c r="E2" t="s">
        <v>86</v>
      </c>
      <c r="F2" s="14"/>
      <c r="H2" t="s">
        <v>86</v>
      </c>
      <c r="I2" s="14"/>
      <c r="J2" t="s">
        <v>177</v>
      </c>
      <c r="L2" t="s">
        <v>173</v>
      </c>
    </row>
    <row r="3" spans="1:14" x14ac:dyDescent="0.35">
      <c r="A3" t="s">
        <v>65</v>
      </c>
      <c r="B3" t="s">
        <v>68</v>
      </c>
      <c r="E3" t="s">
        <v>74</v>
      </c>
      <c r="J3" t="s">
        <v>178</v>
      </c>
      <c r="L3" t="s">
        <v>79</v>
      </c>
    </row>
    <row r="4" spans="1:14" x14ac:dyDescent="0.35">
      <c r="A4" t="s">
        <v>64</v>
      </c>
      <c r="B4" t="s">
        <v>68</v>
      </c>
      <c r="E4" t="s">
        <v>175</v>
      </c>
    </row>
    <row r="5" spans="1:14" x14ac:dyDescent="0.35">
      <c r="A5" t="s">
        <v>66</v>
      </c>
      <c r="B5" t="s">
        <v>68</v>
      </c>
      <c r="D5" s="14"/>
      <c r="E5" s="14" t="s">
        <v>106</v>
      </c>
      <c r="F5" s="32"/>
    </row>
    <row r="7" spans="1:14" x14ac:dyDescent="0.35">
      <c r="A7" t="s">
        <v>37</v>
      </c>
      <c r="B7" t="s">
        <v>38</v>
      </c>
    </row>
    <row r="8" spans="1:14" x14ac:dyDescent="0.35">
      <c r="B8" t="s">
        <v>39</v>
      </c>
      <c r="C8" s="14"/>
      <c r="G8" s="14"/>
    </row>
    <row r="9" spans="1:14" x14ac:dyDescent="0.35">
      <c r="B9" t="s">
        <v>40</v>
      </c>
      <c r="F9" s="14"/>
      <c r="G9" s="14"/>
    </row>
    <row r="10" spans="1:14" x14ac:dyDescent="0.35">
      <c r="B10" t="s">
        <v>43</v>
      </c>
    </row>
    <row r="11" spans="1:14" x14ac:dyDescent="0.35">
      <c r="B11" t="s">
        <v>44</v>
      </c>
      <c r="C11" t="s">
        <v>81</v>
      </c>
      <c r="D11" t="s">
        <v>47</v>
      </c>
      <c r="E11" t="s">
        <v>81</v>
      </c>
      <c r="F11" t="s">
        <v>81</v>
      </c>
      <c r="G11" t="s">
        <v>81</v>
      </c>
    </row>
    <row r="12" spans="1:14" x14ac:dyDescent="0.35">
      <c r="B12" t="s">
        <v>48</v>
      </c>
    </row>
    <row r="13" spans="1:14" x14ac:dyDescent="0.35">
      <c r="B13" t="s">
        <v>49</v>
      </c>
    </row>
    <row r="14" spans="1:14" x14ac:dyDescent="0.35">
      <c r="B14" t="s">
        <v>69</v>
      </c>
      <c r="C14" t="s">
        <v>83</v>
      </c>
      <c r="D14" t="s">
        <v>179</v>
      </c>
      <c r="E14" t="s">
        <v>83</v>
      </c>
      <c r="F14" t="s">
        <v>83</v>
      </c>
      <c r="G14" t="s">
        <v>83</v>
      </c>
    </row>
    <row r="15" spans="1:14" x14ac:dyDescent="0.35">
      <c r="B15" t="s">
        <v>41</v>
      </c>
      <c r="C15" t="s">
        <v>45</v>
      </c>
      <c r="D15" t="s">
        <v>45</v>
      </c>
      <c r="E15" t="s">
        <v>45</v>
      </c>
      <c r="F15" t="s">
        <v>45</v>
      </c>
      <c r="G15" t="s">
        <v>45</v>
      </c>
    </row>
    <row r="16" spans="1:14" x14ac:dyDescent="0.35">
      <c r="B16" t="s">
        <v>42</v>
      </c>
      <c r="C16" t="s">
        <v>46</v>
      </c>
      <c r="D16" t="s">
        <v>46</v>
      </c>
      <c r="E16" t="s">
        <v>82</v>
      </c>
      <c r="F16" t="s">
        <v>46</v>
      </c>
      <c r="G16" t="s">
        <v>46</v>
      </c>
    </row>
    <row r="17" spans="1:16" x14ac:dyDescent="0.35">
      <c r="B17" t="s">
        <v>70</v>
      </c>
      <c r="C17" t="s">
        <v>47</v>
      </c>
      <c r="D17" t="s">
        <v>47</v>
      </c>
      <c r="E17" t="s">
        <v>47</v>
      </c>
      <c r="F17" t="s">
        <v>47</v>
      </c>
      <c r="G17" t="s">
        <v>47</v>
      </c>
    </row>
    <row r="19" spans="1:16" x14ac:dyDescent="0.35">
      <c r="A19" t="s">
        <v>52</v>
      </c>
      <c r="B19" t="s">
        <v>38</v>
      </c>
      <c r="C19" s="20"/>
      <c r="D19" s="20"/>
      <c r="E19" s="20"/>
      <c r="F19" s="20"/>
      <c r="G19" s="20"/>
      <c r="H19" s="20"/>
      <c r="I19" s="20"/>
      <c r="J19" s="20"/>
      <c r="K19" s="20"/>
      <c r="L19" s="20"/>
      <c r="M19" s="20"/>
      <c r="N19" s="20"/>
      <c r="O19" s="20"/>
      <c r="P19" s="20"/>
    </row>
    <row r="20" spans="1:16" x14ac:dyDescent="0.35">
      <c r="B20" t="s">
        <v>53</v>
      </c>
      <c r="C20" s="27"/>
      <c r="D20" s="20"/>
      <c r="E20" s="27"/>
      <c r="F20" s="27"/>
      <c r="G20" s="27"/>
      <c r="H20" s="20"/>
      <c r="I20" s="27"/>
      <c r="J20" s="20"/>
      <c r="K20" s="27"/>
      <c r="L20" s="20"/>
      <c r="M20" s="27"/>
      <c r="N20" s="20"/>
      <c r="O20" s="20"/>
      <c r="P20" s="20"/>
    </row>
    <row r="21" spans="1:16" x14ac:dyDescent="0.35">
      <c r="B21" t="s">
        <v>73</v>
      </c>
      <c r="C21" s="28"/>
      <c r="D21" s="20"/>
      <c r="E21" s="28"/>
      <c r="F21" s="28"/>
      <c r="G21" s="28"/>
      <c r="H21" s="20"/>
      <c r="I21" s="28"/>
      <c r="J21" s="28"/>
      <c r="K21" s="28"/>
      <c r="L21" s="20"/>
      <c r="M21" s="28"/>
      <c r="N21" s="20"/>
      <c r="O21" s="20"/>
      <c r="P21" s="20"/>
    </row>
    <row r="22" spans="1:16" x14ac:dyDescent="0.35">
      <c r="B22" t="s">
        <v>43</v>
      </c>
      <c r="C22" s="27"/>
      <c r="D22" s="20"/>
      <c r="E22" s="27"/>
      <c r="F22" s="29"/>
      <c r="G22" s="27"/>
      <c r="H22" s="20"/>
      <c r="I22" s="27"/>
      <c r="J22" s="27"/>
      <c r="K22" s="20"/>
      <c r="L22" s="20"/>
      <c r="M22" s="27"/>
      <c r="N22" s="20"/>
      <c r="O22" s="20"/>
      <c r="P22" s="20"/>
    </row>
    <row r="23" spans="1:16" x14ac:dyDescent="0.35">
      <c r="B23" t="s">
        <v>71</v>
      </c>
      <c r="C23" s="20"/>
      <c r="D23" s="20"/>
      <c r="E23" s="20"/>
      <c r="F23" s="20"/>
      <c r="G23" s="20"/>
      <c r="H23" s="20"/>
      <c r="I23" s="20"/>
      <c r="J23" s="20"/>
      <c r="K23" s="20"/>
      <c r="L23" s="20"/>
      <c r="M23" s="20"/>
      <c r="N23" s="20"/>
      <c r="O23" s="20"/>
      <c r="P23" s="20"/>
    </row>
    <row r="24" spans="1:16" x14ac:dyDescent="0.35">
      <c r="B24" t="s">
        <v>72</v>
      </c>
      <c r="C24" s="20"/>
      <c r="D24" s="20"/>
      <c r="E24" s="20"/>
      <c r="F24" s="20"/>
      <c r="G24" s="20"/>
      <c r="H24" s="20"/>
      <c r="I24" s="20"/>
      <c r="J24" s="20"/>
      <c r="K24" s="20"/>
      <c r="L24" s="20"/>
      <c r="M24" s="20"/>
      <c r="N24" s="20"/>
      <c r="O24" s="20"/>
      <c r="P24" s="20"/>
    </row>
    <row r="25" spans="1:16" x14ac:dyDescent="0.35">
      <c r="C25" s="20"/>
      <c r="D25" s="20"/>
      <c r="E25" s="20"/>
      <c r="F25" s="20"/>
      <c r="G25" s="20"/>
      <c r="H25" s="20"/>
      <c r="I25" s="20"/>
      <c r="J25" s="20"/>
      <c r="K25" s="20"/>
      <c r="L25" s="20"/>
      <c r="M25" s="20"/>
      <c r="N25" s="20"/>
      <c r="O25" s="20"/>
      <c r="P25" s="20"/>
    </row>
    <row r="26" spans="1:16" x14ac:dyDescent="0.35">
      <c r="A26" t="s">
        <v>50</v>
      </c>
      <c r="B26" t="s">
        <v>74</v>
      </c>
      <c r="C26" s="20"/>
      <c r="D26" s="20"/>
      <c r="E26" s="20"/>
      <c r="F26" s="20"/>
      <c r="G26" s="20"/>
      <c r="H26" s="20"/>
      <c r="I26" s="20"/>
      <c r="J26" s="20"/>
      <c r="K26" s="20"/>
      <c r="L26" s="20"/>
      <c r="M26" s="20"/>
      <c r="N26" s="20"/>
      <c r="O26" s="20"/>
      <c r="P26" s="20"/>
    </row>
    <row r="27" spans="1:16" x14ac:dyDescent="0.35">
      <c r="B27" t="s">
        <v>34</v>
      </c>
    </row>
    <row r="28" spans="1:16" x14ac:dyDescent="0.35">
      <c r="B28" t="s">
        <v>51</v>
      </c>
    </row>
    <row r="30" spans="1:16" x14ac:dyDescent="0.35">
      <c r="A30" t="s">
        <v>54</v>
      </c>
      <c r="B30" t="s">
        <v>38</v>
      </c>
    </row>
    <row r="31" spans="1:16" ht="31.5" customHeight="1" x14ac:dyDescent="0.35">
      <c r="A31" s="13" t="s">
        <v>60</v>
      </c>
      <c r="B31" t="s">
        <v>55</v>
      </c>
    </row>
    <row r="32" spans="1:16" x14ac:dyDescent="0.35">
      <c r="B32" t="s">
        <v>56</v>
      </c>
      <c r="F32" s="16"/>
    </row>
    <row r="33" spans="1:13" x14ac:dyDescent="0.35">
      <c r="B33" t="s">
        <v>57</v>
      </c>
    </row>
    <row r="34" spans="1:13" x14ac:dyDescent="0.35">
      <c r="B34" t="s">
        <v>43</v>
      </c>
      <c r="F34" s="14"/>
    </row>
    <row r="35" spans="1:13" x14ac:dyDescent="0.35">
      <c r="B35" t="s">
        <v>58</v>
      </c>
    </row>
    <row r="36" spans="1:13" x14ac:dyDescent="0.35">
      <c r="B36" t="s">
        <v>59</v>
      </c>
      <c r="F36" s="14"/>
    </row>
    <row r="37" spans="1:13" x14ac:dyDescent="0.35">
      <c r="F37" s="14"/>
    </row>
    <row r="38" spans="1:13" x14ac:dyDescent="0.35">
      <c r="A38" t="s">
        <v>75</v>
      </c>
    </row>
    <row r="39" spans="1:13" x14ac:dyDescent="0.35">
      <c r="F39" s="14"/>
    </row>
    <row r="40" spans="1:13" x14ac:dyDescent="0.35">
      <c r="A40" t="s">
        <v>61</v>
      </c>
      <c r="F40" s="14"/>
      <c r="M40" s="17"/>
    </row>
    <row r="41" spans="1:13" x14ac:dyDescent="0.35">
      <c r="J41" s="18"/>
    </row>
    <row r="42" spans="1:13" x14ac:dyDescent="0.35">
      <c r="A42" t="s">
        <v>38</v>
      </c>
      <c r="B42" t="s">
        <v>43</v>
      </c>
      <c r="C42" t="s">
        <v>86</v>
      </c>
      <c r="D42" t="s">
        <v>84</v>
      </c>
      <c r="E42" t="s">
        <v>85</v>
      </c>
      <c r="F42" t="s">
        <v>34</v>
      </c>
      <c r="G42" t="s">
        <v>41</v>
      </c>
      <c r="H42" t="s">
        <v>35</v>
      </c>
      <c r="I42" t="s">
        <v>87</v>
      </c>
      <c r="M42" s="17"/>
    </row>
    <row r="43" spans="1:13" x14ac:dyDescent="0.35">
      <c r="F43" s="14"/>
    </row>
    <row r="44" spans="1:13" x14ac:dyDescent="0.35">
      <c r="J44" s="18"/>
    </row>
    <row r="45" spans="1:13" x14ac:dyDescent="0.35">
      <c r="F45" s="14"/>
    </row>
    <row r="46" spans="1:13" x14ac:dyDescent="0.35">
      <c r="F46" s="14"/>
    </row>
    <row r="47" spans="1:13" x14ac:dyDescent="0.35">
      <c r="F47" s="1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C73C8D8388A5644822CDEC91D2C1D33" ma:contentTypeVersion="48" ma:contentTypeDescription="Create a new document." ma:contentTypeScope="" ma:versionID="fdb5641837a32181581c8d92c565650a">
  <xsd:schema xmlns:xsd="http://www.w3.org/2001/XMLSchema" xmlns:xs="http://www.w3.org/2001/XMLSchema" xmlns:p="http://schemas.microsoft.com/office/2006/metadata/properties" xmlns:ns2="7e9166a1-28de-481b-9160-bb2d1b0e718c" xmlns:ns3="ffa161b4-5f13-4d90-a774-2ac1811ffc05" targetNamespace="http://schemas.microsoft.com/office/2006/metadata/properties" ma:root="true" ma:fieldsID="e98ac8d047f08f822f807c14a07d7c3e" ns2:_="" ns3:_="">
    <xsd:import namespace="7e9166a1-28de-481b-9160-bb2d1b0e718c"/>
    <xsd:import namespace="ffa161b4-5f13-4d90-a774-2ac1811ffc05"/>
    <xsd:element name="properties">
      <xsd:complexType>
        <xsd:sequence>
          <xsd:element name="documentManagement">
            <xsd:complexType>
              <xsd:all>
                <xsd:element ref="ns2:TaxType" minOccurs="0"/>
                <xsd:element ref="ns2:BusinessArea" minOccurs="0"/>
                <xsd:element ref="ns2:TypeOfLearning" minOccurs="0"/>
                <xsd:element ref="ns2:Duration" minOccurs="0"/>
                <xsd:element ref="ns2:ComplianceChecked"/>
                <xsd:element ref="ns2:Markforpossibledeletion" minOccurs="0"/>
                <xsd:element ref="ns2:Reviewinterval"/>
                <xsd:element ref="ns2:ReviewCalc" minOccurs="0"/>
                <xsd:element ref="ns2:Owners"/>
                <xsd:element ref="ns2:ReviewDue" minOccurs="0"/>
                <xsd:element ref="ns2:ReviewComplete" minOccurs="0"/>
                <xsd:element ref="ns2:Hyperlink" minOccurs="0"/>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TaxCatchAll" minOccurs="0"/>
                <xsd:element ref="ns2:pbc4be8b029348ba9f4c3601ad1cb6bf" minOccurs="0"/>
                <xsd:element ref="ns2:MediaServiceAutoKeyPoints" minOccurs="0"/>
                <xsd:element ref="ns2:MediaServiceKeyPoints" minOccurs="0"/>
                <xsd:element ref="ns3:SharedWithUsers" minOccurs="0"/>
                <xsd:element ref="ns3:SharedWithDetails" minOccurs="0"/>
                <xsd:element ref="ns2:SpecificTags" minOccurs="0"/>
                <xsd:element ref="ns2:MediaLengthInSeconds" minOccurs="0"/>
                <xsd:element ref="ns2:lcf76f155ced4ddcb4097134ff3c332f" minOccurs="0"/>
                <xsd:element ref="ns2:MediaServiceObjectDetectorVersions" minOccurs="0"/>
                <xsd:element ref="ns2:MediaServiceSearchProperties" minOccurs="0"/>
                <xsd:element ref="ns2:VersionContro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9166a1-28de-481b-9160-bb2d1b0e718c" elementFormDefault="qualified">
    <xsd:import namespace="http://schemas.microsoft.com/office/2006/documentManagement/types"/>
    <xsd:import namespace="http://schemas.microsoft.com/office/infopath/2007/PartnerControls"/>
    <xsd:element name="TaxType" ma:index="2" nillable="true" ma:displayName="Tax Type" ma:description="Non Tax Skills - core skills to support staff in their job role.&#10;&#10;Tax Knowledge - Knowledge on specific tax areas." ma:format="Dropdown" ma:internalName="TaxType">
      <xsd:simpleType>
        <xsd:restriction base="dms:Choice">
          <xsd:enumeration value="Non Tax Skills"/>
          <xsd:enumeration value="Tax Knowledge"/>
        </xsd:restriction>
      </xsd:simpleType>
    </xsd:element>
    <xsd:element name="BusinessArea" ma:index="4" nillable="true" ma:displayName="Business Area" ma:description="Identifies all of the business areas to which content may be relevant.  Why? So learners can search for business-specific content.  So we can enable access to this content in appropriate, business-specific spaces.  So we can identify who owns business-specific content." ma:format="Dropdown" ma:internalName="BusinessArea">
      <xsd:complexType>
        <xsd:complexContent>
          <xsd:extension base="dms:MultiChoice">
            <xsd:sequence>
              <xsd:element name="Value" maxOccurs="unbounded" minOccurs="0" nillable="true">
                <xsd:simpleType>
                  <xsd:restriction base="dms:Choice">
                    <xsd:enumeration value="All - cross-business"/>
                    <xsd:enumeration value="Benefits &amp; credits (B&amp;C)"/>
                    <xsd:enumeration value="Business tax &amp; customs (BT&amp;C)"/>
                    <xsd:enumeration value="CCG"/>
                    <xsd:enumeration value="CSG"/>
                    <xsd:enumeration value="Counter-avoidance"/>
                    <xsd:enumeration value="CS&amp;TD"/>
                    <xsd:enumeration value="Debt management (DM)"/>
                    <xsd:enumeration value="EU exit"/>
                    <xsd:enumeration value="Fraud investigation service (FIS)"/>
                    <xsd:enumeration value="Individuals &amp; small business compliance (ISBC)"/>
                    <xsd:enumeration value="Large business"/>
                    <xsd:enumeration value="PT Ops"/>
                    <xsd:enumeration value="Risk &amp; intelligence service (RIS)"/>
                    <xsd:enumeration value="SOLS"/>
                    <xsd:enumeration value="Wealthy &amp; medium sized business compliance (WMBC)"/>
                  </xsd:restriction>
                </xsd:simpleType>
              </xsd:element>
            </xsd:sequence>
          </xsd:extension>
        </xsd:complexContent>
      </xsd:complexType>
    </xsd:element>
    <xsd:element name="TypeOfLearning" ma:index="5" nillable="true" ma:displayName="Type Of Learning" ma:description="Enables learner/content owner to search for/select different types of learning asset. Why?  So we can identify and group types of learning together, where appropriate to do so.  So learners can search for and find learning products to suit their learning preferences." ma:format="Dropdown" ma:internalName="TypeOfLearning">
      <xsd:complexType>
        <xsd:complexContent>
          <xsd:extension base="dms:MultiChoice">
            <xsd:sequence>
              <xsd:element name="Value" maxOccurs="unbounded" minOccurs="0" nillable="true">
                <xsd:simpleType>
                  <xsd:restriction base="dms:Choice">
                    <xsd:enumeration value="Blog"/>
                    <xsd:enumeration value="Case study activity"/>
                    <xsd:enumeration value="Course-workshop"/>
                    <xsd:enumeration value="Digital classroom activity"/>
                    <xsd:enumeration value="E-book"/>
                    <xsd:enumeration value="E-learning programme"/>
                    <xsd:enumeration value="E-workbook"/>
                    <xsd:enumeration value="Helpcards"/>
                    <xsd:enumeration value="Hints and tips"/>
                    <xsd:enumeration value="Learner-generated"/>
                    <xsd:enumeration value="Practice activity"/>
                    <xsd:enumeration value="Research activity"/>
                    <xsd:enumeration value="Quiz/assessment"/>
                    <xsd:enumeration value="Video"/>
                  </xsd:restriction>
                </xsd:simpleType>
              </xsd:element>
            </xsd:sequence>
          </xsd:extension>
        </xsd:complexContent>
      </xsd:complexType>
    </xsd:element>
    <xsd:element name="Duration" ma:index="6" nillable="true" ma:displayName="Duration" ma:description="Enables distinctions to be made between different durations of learning.  Why?  So we can identify and group learning by duration, where appropriate to do so.  So learners can search for 'quick to do' learning or more detailed learning, as per their needs." ma:format="Dropdown" ma:internalName="Duration">
      <xsd:complexType>
        <xsd:complexContent>
          <xsd:extension base="dms:MultiChoice">
            <xsd:sequence>
              <xsd:element name="Value" maxOccurs="unbounded" minOccurs="0" nillable="true">
                <xsd:simpleType>
                  <xsd:restriction base="dms:Choice">
                    <xsd:enumeration value="Less than 30 minutes"/>
                    <xsd:enumeration value="Up to 1 hour"/>
                    <xsd:enumeration value="2 - 4 hours"/>
                    <xsd:enumeration value="Up to 1 day"/>
                    <xsd:enumeration value="More than 1 day"/>
                  </xsd:restriction>
                </xsd:simpleType>
              </xsd:element>
            </xsd:sequence>
          </xsd:extension>
        </xsd:complexContent>
      </xsd:complexType>
    </xsd:element>
    <xsd:element name="ComplianceChecked" ma:index="7" ma:displayName="Compliance Checked" ma:default="0" ma:description="Confirms that content has been checked for compliance with legal requirements for a) copyright/licensing, b) GDPR, c) accessibility. Why?  So we are better able to identify and respond to compliance risks across the site.  So we have confidence in the content of our site." ma:format="Dropdown" ma:internalName="ComplianceChecked">
      <xsd:simpleType>
        <xsd:restriction base="dms:Boolean"/>
      </xsd:simpleType>
    </xsd:element>
    <xsd:element name="Markforpossibledeletion" ma:index="8" nillable="true" ma:displayName="Mark for deletion" ma:default="0" ma:description="This is a temporary column to help us filter out any documents that are unnecessary, e.g., because they have been converted into a Sharepoint page" ma:format="Dropdown" ma:internalName="Markforpossibledeletion">
      <xsd:simpleType>
        <xsd:restriction base="dms:Boolean"/>
      </xsd:simpleType>
    </xsd:element>
    <xsd:element name="Reviewinterval" ma:index="9" ma:displayName="Reviewinterval" ma:decimals="0" ma:default="180" ma:description="Denotes when the system will trigger a review of a piece of content.  Why?  To hep us ensure that all content across the site is reviewed at reasonable intervals.  To help us automate the review process, by creating a system generated date that can be used to trigger an email to the identified 'owner' of the content.  The default value is set at 180 but this value can be changed to suit the content and the frequency with which it may need to be reviewed." ma:format="Dropdown" ma:internalName="Reviewinterval" ma:percentage="FALSE">
      <xsd:simpleType>
        <xsd:restriction base="dms:Number"/>
      </xsd:simpleType>
    </xsd:element>
    <xsd:element name="ReviewCalc" ma:index="11" nillable="true" ma:displayName="ReviewCalc" ma:format="DateOnly" ma:internalName="ReviewCalc">
      <xsd:simpleType>
        <xsd:restriction base="dms:DateTime"/>
      </xsd:simpleType>
    </xsd:element>
    <xsd:element name="Owners" ma:index="12" ma:displayName="Owners" ma:description="Identifies the business or team owning the content.  Why?  So owners can quickly search for an find pages for which they are responsible.  So we can quickly identify and contact content owners as and when the need arises." ma:list="UserInfo" ma:SearchPeopleOnly="false" ma:SharePointGroup="0" ma:internalName="Owners" ma:showField="ImnName">
      <xsd:complexType>
        <xsd:complexContent>
          <xsd:extension base="dms:UserMulti">
            <xsd:sequence>
              <xsd:element name="UserInfo" minOccurs="0" maxOccurs="unbounded">
                <xsd:complexType>
                  <xsd:sequence>
                    <xsd:element name="DisplayName" type="xsd:string" minOccurs="0"/>
                    <xsd:element name="AccountId" type="dms:UserId" minOccurs="0"/>
                    <xsd:element name="AccountType" type="xsd:string" minOccurs="0"/>
                  </xsd:sequence>
                </xsd:complexType>
              </xsd:element>
            </xsd:sequence>
          </xsd:extension>
        </xsd:complexContent>
      </xsd:complexType>
    </xsd:element>
    <xsd:element name="ReviewDue" ma:index="13" nillable="true" ma:displayName="ReviewDue" ma:format="DateOnly" ma:internalName="ReviewDue">
      <xsd:simpleType>
        <xsd:restriction base="dms:DateTime"/>
      </xsd:simpleType>
    </xsd:element>
    <xsd:element name="ReviewComplete" ma:index="14" nillable="true" ma:displayName="ReviewComplete" ma:default="NA" ma:format="Dropdown" ma:internalName="ReviewComplete">
      <xsd:simpleType>
        <xsd:restriction base="dms:Choice">
          <xsd:enumeration value="NA"/>
          <xsd:enumeration value="Yes"/>
        </xsd:restriction>
      </xsd:simpleType>
    </xsd:element>
    <xsd:element name="Hyperlink" ma:index="15" nillable="true" ma:displayName="Hyperlink" ma:description="Links to page/file" ma:internalName="Hyperlink">
      <xsd:simpleType>
        <xsd:restriction base="dms:Note">
          <xsd:maxLength value="255"/>
        </xsd:restriction>
      </xsd:simpleType>
    </xsd:element>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DateTaken" ma:index="20" nillable="true" ma:displayName="MediaServiceDateTaken" ma:hidden="true" ma:internalName="MediaServiceDateTaken" ma:readOnly="true">
      <xsd:simpleType>
        <xsd:restriction base="dms:Text"/>
      </xsd:simpleType>
    </xsd:element>
    <xsd:element name="MediaServiceAutoTags" ma:index="21" nillable="true" ma:displayName="Tags" ma:internalName="MediaServiceAutoTags"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pbc4be8b029348ba9f4c3601ad1cb6bf" ma:index="26" nillable="true" ma:taxonomy="true" ma:internalName="pbc4be8b029348ba9f4c3601ad1cb6bf" ma:taxonomyFieldName="Tags" ma:displayName="Tags" ma:default="" ma:fieldId="{9bc4be8b-0293-48ba-9f4c-3601ad1cb6bf}" ma:taxonomyMulti="true" ma:sspId="a3ebb39f-d69b-4575-80f5-9912993956e5" ma:termSetId="5de55d50-a217-4430-ba68-a5c3cf9e5b7b" ma:anchorId="00000000-0000-0000-0000-000000000000" ma:open="true" ma:isKeyword="false">
      <xsd:complexType>
        <xsd:sequence>
          <xsd:element ref="pc:Terms" minOccurs="0" maxOccurs="1"/>
        </xsd:sequence>
      </xsd:complexType>
    </xsd:element>
    <xsd:element name="MediaServiceAutoKeyPoints" ma:index="31" nillable="true" ma:displayName="MediaServiceAutoKeyPoints" ma:hidden="true" ma:internalName="MediaServiceAutoKeyPoints" ma:readOnly="true">
      <xsd:simpleType>
        <xsd:restriction base="dms:Note"/>
      </xsd:simpleType>
    </xsd:element>
    <xsd:element name="MediaServiceKeyPoints" ma:index="32" nillable="true" ma:displayName="KeyPoints" ma:internalName="MediaServiceKeyPoints" ma:readOnly="true">
      <xsd:simpleType>
        <xsd:restriction base="dms:Note">
          <xsd:maxLength value="255"/>
        </xsd:restriction>
      </xsd:simpleType>
    </xsd:element>
    <xsd:element name="SpecificTags" ma:index="35" nillable="true" ma:displayName="Specific Tags" ma:default="Remission Checklist" ma:description="#" ma:format="Dropdown" ma:internalName="SpecificTags">
      <xsd:simpleType>
        <xsd:restriction base="dms:Text">
          <xsd:maxLength value="255"/>
        </xsd:restriction>
      </xsd:simpleType>
    </xsd:element>
    <xsd:element name="MediaLengthInSeconds" ma:index="36" nillable="true" ma:displayName="Length (seconds)" ma:internalName="MediaLengthInSeconds" ma:readOnly="true">
      <xsd:simpleType>
        <xsd:restriction base="dms:Unknown"/>
      </xsd:simpleType>
    </xsd:element>
    <xsd:element name="lcf76f155ced4ddcb4097134ff3c332f" ma:index="38" nillable="true" ma:taxonomy="true" ma:internalName="lcf76f155ced4ddcb4097134ff3c332f" ma:taxonomyFieldName="MediaServiceImageTags" ma:displayName="Image Tags" ma:readOnly="false" ma:fieldId="{5cf76f15-5ced-4ddc-b409-7134ff3c332f}" ma:taxonomyMulti="true" ma:sspId="a3ebb39f-d69b-4575-80f5-9912993956e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9" nillable="true" ma:displayName="MediaServiceObjectDetectorVersions" ma:hidden="true" ma:indexed="true" ma:internalName="MediaServiceObjectDetectorVersions" ma:readOnly="true">
      <xsd:simpleType>
        <xsd:restriction base="dms:Text"/>
      </xsd:simpleType>
    </xsd:element>
    <xsd:element name="MediaServiceSearchProperties" ma:index="40" nillable="true" ma:displayName="MediaServiceSearchProperties" ma:hidden="true" ma:internalName="MediaServiceSearchProperties" ma:readOnly="true">
      <xsd:simpleType>
        <xsd:restriction base="dms:Note"/>
      </xsd:simpleType>
    </xsd:element>
    <xsd:element name="VersionControl" ma:index="41" nillable="true" ma:displayName="Version Control" ma:description="Please update with date of update and person who requested update. " ma:format="Dropdown" ma:internalName="VersionContro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fa161b4-5f13-4d90-a774-2ac1811ffc05"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65d8cb51-5d4e-477b-98f4-dc359a56fb71}" ma:internalName="TaxCatchAll" ma:showField="CatchAllData" ma:web="ffa161b4-5f13-4d90-a774-2ac1811ffc05">
      <xsd:complexType>
        <xsd:complexContent>
          <xsd:extension base="dms:MultiChoiceLookup">
            <xsd:sequence>
              <xsd:element name="Value" type="dms:Lookup" maxOccurs="unbounded" minOccurs="0" nillable="true"/>
            </xsd:sequence>
          </xsd:extension>
        </xsd:complexContent>
      </xsd:complexType>
    </xsd:element>
    <xsd:element name="SharedWithUsers" ma:index="3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7"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Reviewinterval xmlns="7e9166a1-28de-481b-9160-bb2d1b0e718c">180</Reviewinterval>
    <Owners xmlns="7e9166a1-28de-481b-9160-bb2d1b0e718c">
      <UserInfo>
        <DisplayName/>
        <AccountId/>
        <AccountType/>
      </UserInfo>
    </Owners>
    <TypeOfLearning xmlns="7e9166a1-28de-481b-9160-bb2d1b0e718c"/>
    <TaxCatchAll xmlns="ffa161b4-5f13-4d90-a774-2ac1811ffc05" xsi:nil="true"/>
    <Duration xmlns="7e9166a1-28de-481b-9160-bb2d1b0e718c" xsi:nil="true"/>
    <ComplianceChecked xmlns="7e9166a1-28de-481b-9160-bb2d1b0e718c">false</ComplianceChecked>
    <BusinessArea xmlns="7e9166a1-28de-481b-9160-bb2d1b0e718c" xsi:nil="true"/>
    <pbc4be8b029348ba9f4c3601ad1cb6bf xmlns="7e9166a1-28de-481b-9160-bb2d1b0e718c">
      <Terms xmlns="http://schemas.microsoft.com/office/infopath/2007/PartnerControls"/>
    </pbc4be8b029348ba9f4c3601ad1cb6bf>
    <Markforpossibledeletion xmlns="7e9166a1-28de-481b-9160-bb2d1b0e718c">false</Markforpossibledeletion>
    <ReviewCalc xmlns="7e9166a1-28de-481b-9160-bb2d1b0e718c" xsi:nil="true"/>
    <ReviewDue xmlns="7e9166a1-28de-481b-9160-bb2d1b0e718c" xsi:nil="true"/>
    <ReviewComplete xmlns="7e9166a1-28de-481b-9160-bb2d1b0e718c">NA</ReviewComplete>
    <TaxType xmlns="7e9166a1-28de-481b-9160-bb2d1b0e718c" xsi:nil="true"/>
    <Hyperlink xmlns="7e9166a1-28de-481b-9160-bb2d1b0e718c" xsi:nil="true"/>
    <SpecificTags xmlns="7e9166a1-28de-481b-9160-bb2d1b0e718c">Remission Checklist</SpecificTags>
    <lcf76f155ced4ddcb4097134ff3c332f xmlns="7e9166a1-28de-481b-9160-bb2d1b0e718c">
      <Terms xmlns="http://schemas.microsoft.com/office/infopath/2007/PartnerControls"/>
    </lcf76f155ced4ddcb4097134ff3c332f>
    <VersionControl xmlns="7e9166a1-28de-481b-9160-bb2d1b0e718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B70020F-1D1E-4C6D-96F6-9A8AFB093C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9166a1-28de-481b-9160-bb2d1b0e718c"/>
    <ds:schemaRef ds:uri="ffa161b4-5f13-4d90-a774-2ac1811ffc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0EFD5ED-5868-445E-85E5-27AA1B4D7080}">
  <ds:schemaRefs>
    <ds:schemaRef ds:uri="http://purl.org/dc/terms/"/>
    <ds:schemaRef ds:uri="http://schemas.microsoft.com/office/2006/documentManagement/types"/>
    <ds:schemaRef ds:uri="7e9166a1-28de-481b-9160-bb2d1b0e718c"/>
    <ds:schemaRef ds:uri="http://schemas.microsoft.com/office/infopath/2007/PartnerControls"/>
    <ds:schemaRef ds:uri="http://schemas.openxmlformats.org/package/2006/metadata/core-properties"/>
    <ds:schemaRef ds:uri="http://purl.org/dc/elements/1.1/"/>
    <ds:schemaRef ds:uri="http://schemas.microsoft.com/office/2006/metadata/properties"/>
    <ds:schemaRef ds:uri="ffa161b4-5f13-4d90-a774-2ac1811ffc05"/>
    <ds:schemaRef ds:uri="http://www.w3.org/XML/1998/namespace"/>
    <ds:schemaRef ds:uri="http://purl.org/dc/dcmitype/"/>
  </ds:schemaRefs>
</ds:datastoreItem>
</file>

<file path=customXml/itemProps3.xml><?xml version="1.0" encoding="utf-8"?>
<ds:datastoreItem xmlns:ds="http://schemas.openxmlformats.org/officeDocument/2006/customXml" ds:itemID="{7CB74DBE-52EA-48EE-BF45-3922F54C9A0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6</vt:i4>
      </vt:variant>
    </vt:vector>
  </HeadingPairs>
  <TitlesOfParts>
    <vt:vector size="6" baseType="lpstr">
      <vt:lpstr>Tax Table</vt:lpstr>
      <vt:lpstr>Calculator</vt:lpstr>
      <vt:lpstr>Day-Calc</vt:lpstr>
      <vt:lpstr>Scotland</vt:lpstr>
      <vt:lpstr>InYAdj</vt:lpstr>
      <vt:lpstr>Case-Info</vt:lpstr>
    </vt:vector>
  </TitlesOfParts>
  <Company>HM Revenue and Customs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Micky (PT Operations)</dc:creator>
  <cp:lastModifiedBy>Au, Kin Wa (PT Operations PAYE Working Life)</cp:lastModifiedBy>
  <cp:lastPrinted>2019-10-04T11:19:52Z</cp:lastPrinted>
  <dcterms:created xsi:type="dcterms:W3CDTF">2019-09-03T13:19:00Z</dcterms:created>
  <dcterms:modified xsi:type="dcterms:W3CDTF">2024-11-06T16:52:28Z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0x0101004C73C8D8388A5644822CDEC91D2C1D33</vt:lpwstr>
  </property>
  <property fmtid="{D5CDD505-2E9C-101B-9397-08002B2CF9AE}" pid="3" name="Tags">
    <vt:lpwstr/>
  </property>
  <property fmtid="{D5CDD505-2E9C-101B-9397-08002B2CF9AE}" pid="4" name="MediaServiceImageTags">
    <vt:lpwstr/>
  </property>
  <property fmtid="{D5CDD505-2E9C-101B-9397-08002B2CF9AE}" pid="5" name="MSIP_Label_f9af038e-07b4-4369-a678-c835687cb272_Enabled">
    <vt:lpwstr>true</vt:lpwstr>
  </property>
  <property fmtid="{D5CDD505-2E9C-101B-9397-08002B2CF9AE}" pid="6" name="MSIP_Label_f9af038e-07b4-4369-a678-c835687cb272_SetDate">
    <vt:lpwstr>2024-10-09T09:05:34Z</vt:lpwstr>
  </property>
  <property fmtid="{D5CDD505-2E9C-101B-9397-08002B2CF9AE}" pid="7" name="MSIP_Label_f9af038e-07b4-4369-a678-c835687cb272_Method">
    <vt:lpwstr>Standard</vt:lpwstr>
  </property>
  <property fmtid="{D5CDD505-2E9C-101B-9397-08002B2CF9AE}" pid="8" name="MSIP_Label_f9af038e-07b4-4369-a678-c835687cb272_Name">
    <vt:lpwstr>OFFICIAL</vt:lpwstr>
  </property>
  <property fmtid="{D5CDD505-2E9C-101B-9397-08002B2CF9AE}" pid="9" name="MSIP_Label_f9af038e-07b4-4369-a678-c835687cb272_SiteId">
    <vt:lpwstr>ac52f73c-fd1a-4a9a-8e7a-4a248f3139e1</vt:lpwstr>
  </property>
  <property fmtid="{D5CDD505-2E9C-101B-9397-08002B2CF9AE}" pid="10" name="MSIP_Label_f9af038e-07b4-4369-a678-c835687cb272_ActionId">
    <vt:lpwstr>f15991c1-8de9-4225-9fae-188ca59627b4</vt:lpwstr>
  </property>
  <property fmtid="{D5CDD505-2E9C-101B-9397-08002B2CF9AE}" pid="11" name="MSIP_Label_f9af038e-07b4-4369-a678-c835687cb272_ContentBits">
    <vt:lpwstr>2</vt:lpwstr>
  </property>
</Properties>
</file>